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Dashboard" sheetId="1" state="visible" r:id="rId1"/>
    <sheet xmlns:r="http://schemas.openxmlformats.org/officeDocument/2006/relationships" name="Bang_Kiem_Thu_Chi_Tiet" sheetId="2" state="visible" r:id="rId2"/>
    <sheet xmlns:r="http://schemas.openxmlformats.org/officeDocument/2006/relationships" name="Danh_Sach_Loi_Bug_Log" sheetId="3" state="visible" r:id="rId3"/>
    <sheet xmlns:r="http://schemas.openxmlformats.org/officeDocument/2006/relationships" name="Checklist_Tich_Hop_AI" sheetId="4" state="visible" r:id="rId4"/>
  </sheets>
  <definedNames>
    <definedName name="_xlnm._FilterDatabase" localSheetId="1" hidden="1">'Bang_Kiem_Thu_Chi_Tiet'!$A$4:$I$29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b val="1"/>
      <color rgb="001E1E1E"/>
      <sz val="10"/>
    </font>
    <font>
      <name val="Calibri"/>
      <color rgb="001E1E1E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4F8"/>
        <bgColor rgb="00F2F4F8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38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Calibri"/>
        <b val="1"/>
        <color rgb="00276A3C"/>
        <sz val="10"/>
      </font>
      <fill>
        <patternFill patternType="solid">
          <fgColor rgb="00E2EFDA"/>
          <bgColor rgb="00E2EFDA"/>
        </patternFill>
      </fill>
    </dxf>
    <dxf>
      <font>
        <name val="Calibri"/>
        <b val="1"/>
        <color rgb="008C6D1F"/>
        <sz val="10"/>
      </font>
      <fill>
        <patternFill patternType="solid">
          <fgColor rgb="00FFF2CC"/>
          <bgColor rgb="00FFF2CC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Kiểm thử Thực tế theo từng Kỹ thuật (PASS vs FAIL)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'Tong_Quan_Dashboard'!D5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'Tong_Quan_Dashboard'!$A$6:$A$9</f>
            </numRef>
          </cat>
          <val>
            <numRef>
              <f>'Tong_Quan_Dashboard'!$D$6:$D$9</f>
            </numRef>
          </val>
        </ser>
        <ser>
          <idx val="1"/>
          <order val="1"/>
          <tx>
            <strRef>
              <f>'Tong_Quan_Dashboard'!E5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'Tong_Quan_Dashboard'!$A$6:$A$9</f>
            </numRef>
          </cat>
          <val>
            <numRef>
              <f>'Tong_Quan_Dashboard'!$E$6:$E$9</f>
            </numRef>
          </val>
        </ser>
        <ser>
          <idx val="2"/>
          <order val="2"/>
          <tx>
            <strRef>
              <f>'Tong_Quan_Dashboard'!F5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'Tong_Quan_Dashboard'!$A$6:$A$9</f>
            </numRef>
          </cat>
          <val>
            <numRef>
              <f>'Tong_Quan_Dashboard'!$F$6:$F$9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Hạng mục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Test Case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  <col width="20" customWidth="1" min="6" max="6"/>
    <col width="18" customWidth="1" min="7" max="7"/>
    <col width="4" customWidth="1" min="8" max="8"/>
    <col width="28" customWidth="1" min="9" max="9"/>
    <col width="62" customWidth="1" min="10" max="10"/>
  </cols>
  <sheetData>
    <row r="1">
      <c r="A1" s="1" t="inlineStr">
        <is>
          <t>BÁO CÁO KIỂM THỬ &amp; TÍCH HỢP HỆ THỐNG — NGƯỜI 4 (CẬP NHẬT SAU KHI NHẬN CODE P1, P2, P3)</t>
        </is>
      </c>
    </row>
    <row r="2">
      <c r="A2" s="2" t="inlineStr">
        <is>
          <t>Học phần: Thị giác máy tính (Mã môn: 121036) | Đánh giá độc lập 10 hàm thuật toán &amp; Notebook thí nghiệm</t>
        </is>
      </c>
    </row>
    <row r="4">
      <c r="A4" s="3" t="inlineStr">
        <is>
          <t>1. THỐNG KÊ KẾT QUẢ KIỂM THỬ THỰC TẾ THEO TỪNG PHẦN</t>
        </is>
      </c>
      <c r="I4" s="3" t="inlineStr">
        <is>
          <t>2. TÓM TẮT ĐÁNH GIÁ NHANH CHO NGƯỜI 4 SAU ĐỢT TEST ĐẦU TIÊN</t>
        </is>
      </c>
    </row>
    <row r="5" ht="42" customHeight="1">
      <c r="A5" s="4" t="inlineStr">
        <is>
          <t>Hạng mục (Component)</t>
        </is>
      </c>
      <c r="B5" s="4" t="inlineStr">
        <is>
          <t>Người phụ trách</t>
        </is>
      </c>
      <c r="C5" s="4" t="inlineStr">
        <is>
          <t>Tổng số Test Case</t>
        </is>
      </c>
      <c r="D5" s="4" t="inlineStr">
        <is>
          <t>Đã đạt (PASS)</t>
        </is>
      </c>
      <c r="E5" s="4" t="inlineStr">
        <is>
          <t>Cần sửa (FAIL)</t>
        </is>
      </c>
      <c r="F5" s="4" t="inlineStr">
        <is>
          <t>Chờ chạy (PENDING)</t>
        </is>
      </c>
      <c r="G5" s="4" t="inlineStr">
        <is>
          <t>Tỷ lệ đạt (PASS %)</t>
        </is>
      </c>
      <c r="I5" s="5" t="inlineStr">
        <is>
          <t>Người 1 (CLAHE):</t>
        </is>
      </c>
      <c r="J5" s="6" t="inlineStr">
        <is>
          <t>ĐẠT 10/10 PASS. Cả 3 hàm thuật toán và Notebook thí nghiệm đều hoàn chỉnh, đúng đặc tả, không dùng thư viện cấm.</t>
        </is>
      </c>
    </row>
    <row r="6" ht="42" customHeight="1">
      <c r="A6" s="7" t="inlineStr">
        <is>
          <t>CLAHE</t>
        </is>
      </c>
      <c r="B6" s="8" t="inlineStr">
        <is>
          <t>Người 1</t>
        </is>
      </c>
      <c r="C6" s="9">
        <f>COUNTIF(Bang_Kiem_Thu_Chi_Tiet!$B$5:$B$29, A6)</f>
        <v/>
      </c>
      <c r="D6" s="9">
        <f>COUNTIFS(Bang_Kiem_Thu_Chi_Tiet!$B$5:$B$29, A6, Bang_Kiem_Thu_Chi_Tiet!$G$5:$G$29, "PASS")</f>
        <v/>
      </c>
      <c r="E6" s="9">
        <f>COUNTIFS(Bang_Kiem_Thu_Chi_Tiet!$B$5:$B$29, A6, Bang_Kiem_Thu_Chi_Tiet!$G$5:$G$29, "FAIL")</f>
        <v/>
      </c>
      <c r="F6" s="9">
        <f>COUNTIFS(Bang_Kiem_Thu_Chi_Tiet!$B$5:$B$29, A6, Bang_Kiem_Thu_Chi_Tiet!$G$5:$G$29, "PENDING")</f>
        <v/>
      </c>
      <c r="G6" s="10">
        <f>IF(C6&gt;0, D6/C6, 0)</f>
        <v/>
      </c>
      <c r="I6" s="5" t="inlineStr">
        <is>
          <t>Người 2 (Ngưỡng thích nghi):</t>
        </is>
      </c>
      <c r="J6" s="6" t="inlineStr">
        <is>
          <t>ĐẠT 5/7 PASS (Thuật toán tính toán cực chuẩn, khớp brute-force 100%). Chỉ cần sửa 2 chi tiết nhỏ về đặc tả: (1) Đổi dtype của integral_image sang int64; (2) Đổi tham số mặc định adaptive_threshold thành method='bradley', k=0.34. Phần thí nghiệm cần thêm r=1 vào đồ thị thời gian và thêm ngưỡng thủ công.</t>
        </is>
      </c>
    </row>
    <row r="7" ht="42" customHeight="1">
      <c r="A7" s="11" t="inlineStr">
        <is>
          <t>Adaptive Threshold</t>
        </is>
      </c>
      <c r="B7" s="12" t="inlineStr">
        <is>
          <t>Người 2</t>
        </is>
      </c>
      <c r="C7" s="13">
        <f>COUNTIF(Bang_Kiem_Thu_Chi_Tiet!$B$5:$B$29, A7)</f>
        <v/>
      </c>
      <c r="D7" s="13">
        <f>COUNTIFS(Bang_Kiem_Thu_Chi_Tiet!$B$5:$B$29, A7, Bang_Kiem_Thu_Chi_Tiet!$G$5:$G$29, "PASS")</f>
        <v/>
      </c>
      <c r="E7" s="13">
        <f>COUNTIFS(Bang_Kiem_Thu_Chi_Tiet!$B$5:$B$29, A7, Bang_Kiem_Thu_Chi_Tiet!$G$5:$G$29, "FAIL")</f>
        <v/>
      </c>
      <c r="F7" s="13">
        <f>COUNTIFS(Bang_Kiem_Thu_Chi_Tiet!$B$5:$B$29, A7, Bang_Kiem_Thu_Chi_Tiet!$G$5:$G$29, "PENDING")</f>
        <v/>
      </c>
      <c r="G7" s="14">
        <f>IF(C7&gt;0, D7/C7, 0)</f>
        <v/>
      </c>
      <c r="I7" s="5" t="inlineStr">
        <is>
          <t>Người 3 (Hough đa tỉ lệ):</t>
        </is>
      </c>
      <c r="J7" s="6" t="inlineStr">
        <is>
          <t>CHƯA ĐẠT (0/5 PASS - Cần sửa gấp). Có 5 lỗi lớn: (1) Đang gọi scipy.signal.convolve2d (bị cấm) thay vì convolve2d Phần A; (2) Sai chữ ký hàm và thứ tự trả về ở cả 3 hàm; (3) Quên đổi dấu rho khi quấn góc % 180 làm sai đường 179.5°; (4) Chưa hỗ trợ n_levels, refine_factor; (5) Thiếu các thí nghiệm mục 4.7.</t>
        </is>
      </c>
    </row>
    <row r="8" ht="42" customHeight="1">
      <c r="A8" s="7" t="inlineStr">
        <is>
          <t>Multiscale Hough</t>
        </is>
      </c>
      <c r="B8" s="8" t="inlineStr">
        <is>
          <t>Người 3</t>
        </is>
      </c>
      <c r="C8" s="9">
        <f>COUNTIF(Bang_Kiem_Thu_Chi_Tiet!$B$5:$B$29, A8)</f>
        <v/>
      </c>
      <c r="D8" s="9">
        <f>COUNTIFS(Bang_Kiem_Thu_Chi_Tiet!$B$5:$B$29, A8, Bang_Kiem_Thu_Chi_Tiet!$G$5:$G$29, "PASS")</f>
        <v/>
      </c>
      <c r="E8" s="9">
        <f>COUNTIFS(Bang_Kiem_Thu_Chi_Tiet!$B$5:$B$29, A8, Bang_Kiem_Thu_Chi_Tiet!$G$5:$G$29, "FAIL")</f>
        <v/>
      </c>
      <c r="F8" s="9">
        <f>COUNTIFS(Bang_Kiem_Thu_Chi_Tiet!$B$5:$B$29, A8, Bang_Kiem_Thu_Chi_Tiet!$G$5:$G$29, "PENDING")</f>
        <v/>
      </c>
      <c r="G8" s="10">
        <f>IF(C8&gt;0, D8/C8, 0)</f>
        <v/>
      </c>
      <c r="I8" s="5" t="inlineStr">
        <is>
          <t>Hành động tiếp theo của Người 4:</t>
        </is>
      </c>
      <c r="J8" s="6" t="inlineStr">
        <is>
          <t>Gửi bảng Bug Log (Sheet 3) cho Người 2 và Người 3 tự sửa code theo đúng quy định (Người 4 không sửa thay code thuật toán), sau đó nhận lại bản sửa và chạy Re-test.</t>
        </is>
      </c>
    </row>
    <row r="9">
      <c r="A9" s="11" t="inlineStr">
        <is>
          <t>Integration &amp; QC</t>
        </is>
      </c>
      <c r="B9" s="12" t="inlineStr">
        <is>
          <t>Người 4 + Người 5</t>
        </is>
      </c>
      <c r="C9" s="13">
        <f>COUNTIF(Bang_Kiem_Thu_Chi_Tiet!$B$5:$B$29, A9)</f>
        <v/>
      </c>
      <c r="D9" s="13">
        <f>COUNTIFS(Bang_Kiem_Thu_Chi_Tiet!$B$5:$B$29, A9, Bang_Kiem_Thu_Chi_Tiet!$G$5:$G$29, "PASS")</f>
        <v/>
      </c>
      <c r="E9" s="13">
        <f>COUNTIFS(Bang_Kiem_Thu_Chi_Tiet!$B$5:$B$29, A9, Bang_Kiem_Thu_Chi_Tiet!$G$5:$G$29, "FAIL")</f>
        <v/>
      </c>
      <c r="F9" s="13">
        <f>COUNTIFS(Bang_Kiem_Thu_Chi_Tiet!$B$5:$B$29, A9, Bang_Kiem_Thu_Chi_Tiet!$G$5:$G$29, "PENDING")</f>
        <v/>
      </c>
      <c r="G9" s="14">
        <f>IF(C9&gt;0, D9/C9, 0)</f>
        <v/>
      </c>
    </row>
    <row r="10">
      <c r="A10" s="15" t="inlineStr">
        <is>
          <t>TỔNG CỘNG TOÀN DỰ ÁN</t>
        </is>
      </c>
      <c r="B10" s="16" t="inlineStr">
        <is>
          <t>5 Thành viên</t>
        </is>
      </c>
      <c r="C10" s="17">
        <f>SUM(C6:C9)</f>
        <v/>
      </c>
      <c r="D10" s="17">
        <f>SUM(D6:D9)</f>
        <v/>
      </c>
      <c r="E10" s="17">
        <f>SUM(E6:E9)</f>
        <v/>
      </c>
      <c r="F10" s="17">
        <f>SUM(F6:F9)</f>
        <v/>
      </c>
      <c r="G10" s="18">
        <f>IF(C10&gt;0, D10/C10,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8" customWidth="1" min="4" max="4"/>
    <col width="42" customWidth="1" min="5" max="5"/>
    <col width="42" customWidth="1" min="6" max="6"/>
    <col width="14" customWidth="1" min="7" max="7"/>
    <col width="28" customWidth="1" min="8" max="8"/>
    <col width="36" customWidth="1" min="9" max="9"/>
  </cols>
  <sheetData>
    <row r="1">
      <c r="A1" s="1" t="inlineStr">
        <is>
          <t>BẢNG KẾT QUẢ KIỂM THỬ CHI TIẾT 10 HÀM &amp; TÍCH HỢP (TEST RESULTS)</t>
        </is>
      </c>
    </row>
    <row r="2">
      <c r="A2" s="2" t="inlineStr">
        <is>
          <t>Đã cập nhật kết quả chạy kiểm thử thực tế trên P1_CLAHE.py, integral_threshold.py và Hough.py</t>
        </is>
      </c>
    </row>
    <row r="4" ht="28" customHeight="1">
      <c r="A4" s="4" t="inlineStr">
        <is>
          <t>Test ID</t>
        </is>
      </c>
      <c r="B4" s="4" t="inlineStr">
        <is>
          <t>Component</t>
        </is>
      </c>
      <c r="C4" s="4" t="inlineStr">
        <is>
          <t>Function</t>
        </is>
      </c>
      <c r="D4" s="4" t="inlineStr">
        <is>
          <t>Input/Parameters</t>
        </is>
      </c>
      <c r="E4" s="4" t="inlineStr">
        <is>
          <t>Expected Result</t>
        </is>
      </c>
      <c r="F4" s="4" t="inlineStr">
        <is>
          <t>Actual Result</t>
        </is>
      </c>
      <c r="G4" s="4" t="inlineStr">
        <is>
          <t>Status</t>
        </is>
      </c>
      <c r="H4" s="4" t="inlineStr">
        <is>
          <t>Evidence</t>
        </is>
      </c>
      <c r="I4" s="4" t="inlineStr">
        <is>
          <t>Notes</t>
        </is>
      </c>
    </row>
    <row r="5" ht="40" customHeight="1">
      <c r="A5" s="19" t="inlineStr">
        <is>
          <t>TC_P1_01</t>
        </is>
      </c>
      <c r="B5" s="20" t="inlineStr">
        <is>
          <t>CLAHE</t>
        </is>
      </c>
      <c r="C5" s="20" t="inlineStr">
        <is>
          <t>clip_histogram</t>
        </is>
      </c>
      <c r="D5" s="21" t="inlineStr">
        <is>
          <t>hist ngẫu nhiên (256,) int64 (seed=42, tổng=64196), clip_limit=200</t>
        </is>
      </c>
      <c r="E5" s="21" t="inlineStr">
        <is>
          <t>Trả về mảng (256,), tổng bảo toàn = 64196, các bin vượt 200 được cắt và phân phối đều phần dư</t>
        </is>
      </c>
      <c r="F5" s="21" t="inlineStr">
        <is>
          <t>shape=(256,), dtype=int64, sum=64196, max_bin=295 (Bảo toàn tổng 100%)</t>
        </is>
      </c>
      <c r="G5" s="22" t="inlineStr">
        <is>
          <t>PASS</t>
        </is>
      </c>
      <c r="H5" s="21" t="inlineStr">
        <is>
          <t>src/P1_CLAHE.py &amp; P1_CLAHE.ipynb (Cell 5)</t>
        </is>
      </c>
      <c r="I5" s="21" t="inlineStr">
        <is>
          <t>Bảo toàn chính xác tổng histogram (E // L và E % L)</t>
        </is>
      </c>
    </row>
    <row r="6" ht="40" customHeight="1">
      <c r="A6" s="22" t="inlineStr">
        <is>
          <t>TC_P1_02</t>
        </is>
      </c>
      <c r="B6" s="23" t="inlineStr">
        <is>
          <t>CLAHE</t>
        </is>
      </c>
      <c r="C6" s="23" t="inlineStr">
        <is>
          <t>clip_histogram</t>
        </is>
      </c>
      <c r="D6" s="24" t="inlineStr">
        <is>
          <t>hist ngẫu nhiên (256,), clip_limit=10000 (lớn hơn max(hist))</t>
        </is>
      </c>
      <c r="E6" s="24" t="inlineStr">
        <is>
          <t>Không có bin nào bị cắt (E=0), mảng trả về giữ nguyên giá trị ban đầu, tổng = 64196</t>
        </is>
      </c>
      <c r="F6" s="24" t="inlineStr">
        <is>
          <t>array_equal=True, sum=64196</t>
        </is>
      </c>
      <c r="G6" s="22" t="inlineStr">
        <is>
          <t>PASS</t>
        </is>
      </c>
      <c r="H6" s="24" t="inlineStr">
        <is>
          <t>Script kiểm thử độc lập Người 4</t>
        </is>
      </c>
      <c r="I6" s="24" t="inlineStr">
        <is>
          <t>Đúng lý thuyết mục 2.3 (quay về AHE thuần túy khi ngưỡng cắt lớn)</t>
        </is>
      </c>
    </row>
    <row r="7" ht="40" customHeight="1">
      <c r="A7" s="19" t="inlineStr">
        <is>
          <t>TC_P1_03</t>
        </is>
      </c>
      <c r="B7" s="20" t="inlineStr">
        <is>
          <t>CLAHE</t>
        </is>
      </c>
      <c r="C7" s="20" t="inlineStr">
        <is>
          <t>clip_histogram</t>
        </is>
      </c>
      <c r="D7" s="21" t="inlineStr">
        <is>
          <t>hist ngẫu nhiên (256,), clip_limit=1 (trường hợp biên san phẳng tối đa)</t>
        </is>
      </c>
      <c r="E7" s="21" t="inlineStr">
        <is>
          <t>Không lỗi, tổng histogram vẫn bảo toàn = 64196, chênh lệch giữa max và min bin tối đa là 1</t>
        </is>
      </c>
      <c r="F7" s="21" t="inlineStr">
        <is>
          <t>sum=64196, min=250, max=251</t>
        </is>
      </c>
      <c r="G7" s="22" t="inlineStr">
        <is>
          <t>PASS</t>
        </is>
      </c>
      <c r="H7" s="21" t="inlineStr">
        <is>
          <t>Script kiểm thử độc lập Người 4</t>
        </is>
      </c>
      <c r="I7" s="21" t="inlineStr">
        <is>
          <t>Xử lý tốt giới hạn dưới limit &lt; 1 và phần dư E mod L</t>
        </is>
      </c>
    </row>
    <row r="8" ht="40" customHeight="1">
      <c r="A8" s="22" t="inlineStr">
        <is>
          <t>TC_P1_04</t>
        </is>
      </c>
      <c r="B8" s="23" t="inlineStr">
        <is>
          <t>CLAHE</t>
        </is>
      </c>
      <c r="C8" s="23" t="inlineStr">
        <is>
          <t>build_tile_luts</t>
        </is>
      </c>
      <c r="D8" s="24" t="inlineStr">
        <is>
          <t>img ngẫu nhiên (103, 157) uint8, grid=(8, 8), clip_limit=2.0</t>
        </is>
      </c>
      <c r="E8" s="24" t="inlineStr">
        <is>
          <t>Trả về mảng LUT (8, 8, 256) kiểu uint8, giá trị trong [0, 255], đơn điệu không giảm theo mức xám</t>
        </is>
      </c>
      <c r="F8" s="24" t="inlineStr">
        <is>
          <t>shape=(8, 8, 256), dtype=uint8, range=[0, 255], monotonic=True</t>
        </is>
      </c>
      <c r="G8" s="22" t="inlineStr">
        <is>
          <t>PASS</t>
        </is>
      </c>
      <c r="H8" s="24" t="inlineStr">
        <is>
          <t>src/P1_CLAHE.py &amp; P1_CLAHE.ipynb (Cell 5)</t>
        </is>
      </c>
      <c r="I8" s="24" t="inlineStr">
        <is>
          <t>Chia ô nguyên (i*H//Gy) xử lý tốt kích thước ảnh lẻ</t>
        </is>
      </c>
    </row>
    <row r="9" ht="40" customHeight="1">
      <c r="A9" s="19" t="inlineStr">
        <is>
          <t>TC_P1_05</t>
        </is>
      </c>
      <c r="B9" s="20" t="inlineStr">
        <is>
          <t>CLAHE</t>
        </is>
      </c>
      <c r="C9" s="20" t="inlineStr">
        <is>
          <t>build_tile_luts</t>
        </is>
      </c>
      <c r="D9" s="21" t="inlineStr">
        <is>
          <t>Ảnh phẳng hoàn toàn (64, 64) uint8 (mọi pixel = 128), grid=(8, 8), clip_limit=2.0</t>
        </is>
      </c>
      <c r="E9" s="21" t="inlineStr">
        <is>
          <t>Không xảy ra lỗi chia cho 0 khi denom &lt;= 0, trả về LUT hợp lệ (8, 8, 256) uint8</t>
        </is>
      </c>
      <c r="F9" s="21" t="inlineStr">
        <is>
          <t>shape=(8, 8, 256), dtype=uint8, has_nan=False</t>
        </is>
      </c>
      <c r="G9" s="22" t="inlineStr">
        <is>
          <t>PASS</t>
        </is>
      </c>
      <c r="H9" s="21" t="inlineStr">
        <is>
          <t>Script kiểm thử độc lập Người 4</t>
        </is>
      </c>
      <c r="I9" s="21" t="inlineStr">
        <is>
          <t>Có nhánh kiểm tra denom &lt;= 0 trả về LUT tuyến tính</t>
        </is>
      </c>
    </row>
    <row r="10" ht="40" customHeight="1">
      <c r="A10" s="22" t="inlineStr">
        <is>
          <t>TC_P1_06</t>
        </is>
      </c>
      <c r="B10" s="23" t="inlineStr">
        <is>
          <t>CLAHE</t>
        </is>
      </c>
      <c r="C10" s="23" t="inlineStr">
        <is>
          <t>clahe</t>
        </is>
      </c>
      <c r="D10" s="24" t="inlineStr">
        <is>
          <t>Ảnh kích thước chia hết cho lưới: (256, 256) uint8, grid=(8, 8), clip_limit=2.0</t>
        </is>
      </c>
      <c r="E10" s="24" t="inlineStr">
        <is>
          <t>Trả về ảnh (256, 256) kiểu uint8, giá trị nằm trong [0, 255]</t>
        </is>
      </c>
      <c r="F10" s="24" t="inlineStr">
        <is>
          <t>shape=(256, 256), dtype=uint8, min=0, max=255</t>
        </is>
      </c>
      <c r="G10" s="22" t="inlineStr">
        <is>
          <t>PASS</t>
        </is>
      </c>
      <c r="H10" s="24" t="inlineStr">
        <is>
          <t>src/P1_CLAHE.py &amp; P1_CLAHE.ipynb (Cell 5)</t>
        </is>
      </c>
      <c r="I10" s="24" t="inlineStr">
        <is>
          <t>Chạy nhanh (vector hóa nội suy LUT bằng NumPy)</t>
        </is>
      </c>
    </row>
    <row r="11" ht="40" customHeight="1">
      <c r="A11" s="19" t="inlineStr">
        <is>
          <t>TC_P1_07</t>
        </is>
      </c>
      <c r="B11" s="20" t="inlineStr">
        <is>
          <t>CLAHE</t>
        </is>
      </c>
      <c r="C11" s="20" t="inlineStr">
        <is>
          <t>clahe</t>
        </is>
      </c>
      <c r="D11" s="21" t="inlineStr">
        <is>
          <t>Ảnh kích thước lẻ không chia hết cho lưới: (103, 157) uint8, grid=(8, 8), clip_limit=2.0</t>
        </is>
      </c>
      <c r="E11" s="21" t="inlineStr">
        <is>
          <t>Trả về ảnh (103, 157) kiểu uint8, không lỗi chỉ số ở biên</t>
        </is>
      </c>
      <c r="F11" s="21" t="inlineStr">
        <is>
          <t>shape=(103, 157), dtype=uint8, min=0, max=255</t>
        </is>
      </c>
      <c r="G11" s="22" t="inlineStr">
        <is>
          <t>PASS</t>
        </is>
      </c>
      <c r="H11" s="21" t="inlineStr">
        <is>
          <t>src/P1_CLAHE.py &amp; P1_CLAHE.ipynb (Cell 5)</t>
        </is>
      </c>
      <c r="I11" s="21" t="inlineStr">
        <is>
          <t>Kẹp chỉ số tâm ô (np.clip) xử lý mượt 4 góc và 4 cạnh</t>
        </is>
      </c>
    </row>
    <row r="12" ht="40" customHeight="1">
      <c r="A12" s="22" t="inlineStr">
        <is>
          <t>TC_P1_08</t>
        </is>
      </c>
      <c r="B12" s="23" t="inlineStr">
        <is>
          <t>CLAHE</t>
        </is>
      </c>
      <c r="C12" s="23" t="inlineStr">
        <is>
          <t>clahe</t>
        </is>
      </c>
      <c r="D12" s="24" t="inlineStr">
        <is>
          <t>Ảnh phẳng đồng nhất (64, 64) uint8 (pixel = 128), grid=(8, 8), clip_limit=2.0</t>
        </is>
      </c>
      <c r="E12" s="24" t="inlineStr">
        <is>
          <t>Trả về ảnh (64, 64) uint8, không có NaN, không khuếch đại nhiễu giả tạo</t>
        </is>
      </c>
      <c r="F12" s="24" t="inlineStr">
        <is>
          <t>shape=(64, 64), dtype=uint8, unique_vals=[126]</t>
        </is>
      </c>
      <c r="G12" s="22" t="inlineStr">
        <is>
          <t>PASS</t>
        </is>
      </c>
      <c r="H12" s="24" t="inlineStr">
        <is>
          <t>Script kiểm thử độc lập Người 4</t>
        </is>
      </c>
      <c r="I12" s="24" t="inlineStr">
        <is>
          <t>Đầu ra đồng nhất, an toàn với vùng hoàn toàn phẳng</t>
        </is>
      </c>
    </row>
    <row r="13" ht="40" customHeight="1">
      <c r="A13" s="19" t="inlineStr">
        <is>
          <t>TC_P1_09</t>
        </is>
      </c>
      <c r="B13" s="20" t="inlineStr">
        <is>
          <t>CLAHE</t>
        </is>
      </c>
      <c r="C13" s="20" t="inlineStr">
        <is>
          <t>clahe</t>
        </is>
      </c>
      <c r="D13" s="21" t="inlineStr">
        <is>
          <t>Ảnh nhỏ (15, 19) uint8 với các cấu hình lưới biên: grid=(1, 1), (1, 8), (8, 1)</t>
        </is>
      </c>
      <c r="E13" s="21" t="inlineStr">
        <is>
          <t>Tất cả trả về đúng kích thước (15, 19) uint8, không lỗi chia cho dy hoặc dx bằng 0</t>
        </is>
      </c>
      <c r="F13" s="21" t="inlineStr">
        <is>
          <t>shapes: g11=(15, 19), g18=(15, 19), g81=(15, 19); dtype=uint8</t>
        </is>
      </c>
      <c r="G13" s="22" t="inlineStr">
        <is>
          <t>PASS</t>
        </is>
      </c>
      <c r="H13" s="21" t="inlineStr">
        <is>
          <t>Script kiểm thử độc lập Người 4</t>
        </is>
      </c>
      <c r="I13" s="21" t="inlineStr">
        <is>
          <t>Có xử lý nhánh Gy==1 và Gx==1 đầy đủ</t>
        </is>
      </c>
    </row>
    <row r="14" ht="40" customHeight="1">
      <c r="A14" s="22" t="inlineStr">
        <is>
          <t>TC_P1_10</t>
        </is>
      </c>
      <c r="B14" s="23" t="inlineStr">
        <is>
          <t>CLAHE</t>
        </is>
      </c>
      <c r="C14" s="23" t="inlineStr">
        <is>
          <t>clahe</t>
        </is>
      </c>
      <c r="D14" s="24" t="inlineStr">
        <is>
          <t>Ảnh dải chuyển sắc mượt (128, 128) uint8, grid=(8, 8), clip_limit=2.0</t>
        </is>
      </c>
      <c r="E14" s="24" t="inlineStr">
        <is>
          <t>Nội suy trên 4 giá trị LUT lân cận, không xuất hiện đường ranh giới ô vuông (blocking artifact)</t>
        </is>
      </c>
      <c r="F14" s="24" t="inlineStr">
        <is>
          <t>shape=(128, 128), bước nhảy mức xám ngang lớn nhất giữa 2 pixel kề nhau = 3</t>
        </is>
      </c>
      <c r="G14" s="22" t="inlineStr">
        <is>
          <t>PASS</t>
        </is>
      </c>
      <c r="H14" s="24" t="inlineStr">
        <is>
          <t>P1_CLAHE.ipynb (Cell 11, 15) &amp; Test script</t>
        </is>
      </c>
      <c r="I14" s="24" t="inlineStr">
        <is>
          <t>Đạt yêu cầu mục 2.4: nội suy giá trị bảng tra T_ij[v]</t>
        </is>
      </c>
    </row>
    <row r="15" ht="40" customHeight="1">
      <c r="A15" s="19" t="inlineStr">
        <is>
          <t>TC_P2_01</t>
        </is>
      </c>
      <c r="B15" s="20" t="inlineStr">
        <is>
          <t>Adaptive Threshold</t>
        </is>
      </c>
      <c r="C15" s="20" t="inlineStr">
        <is>
          <t>integral_image</t>
        </is>
      </c>
      <c r="D15" s="21" t="inlineStr">
        <is>
          <t>Ảnh nhỏ 3x3 uint8 đã biết giá trị (np.ones((3,3), dtype=uint8))</t>
        </is>
      </c>
      <c r="E15" s="21" t="inlineStr">
        <is>
          <t>Trả về mảng S kích thước (4, 4), dtype=int64, hàng 0 và cột 0 toàn số 0, S[3,3] = 9</t>
        </is>
      </c>
      <c r="F15" s="21" t="inlineStr">
        <is>
          <t>shape=(4, 4), hàng 0 &amp; cột 0 = 0, S[3,3]=9.0, NHƯNG dtype=float64 (yêu cầu đặc tả là int64)</t>
        </is>
      </c>
      <c r="G15" s="22" t="inlineStr">
        <is>
          <t>FAIL</t>
        </is>
      </c>
      <c r="H15" s="21" t="inlineStr">
        <is>
          <t>integral_threshold.py (dòng 19-22)</t>
        </is>
      </c>
      <c r="I15" s="21" t="inlineStr">
        <is>
          <t>Xem BUG_05: Cần đổi dtype của integral_image sang np.int64 theo mục 3.5 PDF</t>
        </is>
      </c>
    </row>
    <row r="16" ht="40" customHeight="1">
      <c r="A16" s="22" t="inlineStr">
        <is>
          <t>TC_P2_02</t>
        </is>
      </c>
      <c r="B16" s="23" t="inlineStr">
        <is>
          <t>Adaptive Threshold</t>
        </is>
      </c>
      <c r="C16" s="23" t="inlineStr">
        <is>
          <t>integral_image</t>
        </is>
      </c>
      <c r="D16" s="24" t="inlineStr">
        <is>
          <t>Ảnh kích thước lớn (2000, 3000) uint8 toàn mức xám 255 (kiểm tra chống tràn số bình phương)</t>
        </is>
      </c>
      <c r="E16" s="24" t="inlineStr">
        <is>
          <t>Khi tính ảnh tích phân cho I và I^2, tổng lớn nhất (390,150,000,000) không bị tràn số int32</t>
        </is>
      </c>
      <c r="F16" s="24" t="inlineStr">
        <is>
          <t>S_large_sq[-1,-1] = 390150000000 (chính xác 100%, không bị tràn số int32)</t>
        </is>
      </c>
      <c r="G16" s="22" t="inlineStr">
        <is>
          <t>PASS</t>
        </is>
      </c>
      <c r="H16" s="24" t="inlineStr">
        <is>
          <t>integral_threshold.py &amp; Script test Người 4</t>
        </is>
      </c>
      <c r="I16" s="24" t="inlineStr">
        <is>
          <t>Không bị tràn số, nhưng lưu ý ép sang np.int64 thay vì float64</t>
        </is>
      </c>
    </row>
    <row r="17" ht="40" customHeight="1">
      <c r="A17" s="19" t="inlineStr">
        <is>
          <t>TC_P2_03</t>
        </is>
      </c>
      <c r="B17" s="20" t="inlineStr">
        <is>
          <t>Adaptive Threshold</t>
        </is>
      </c>
      <c r="C17" s="20" t="inlineStr">
        <is>
          <t>box_sum</t>
        </is>
      </c>
      <c r="D17" s="21" t="inlineStr">
        <is>
          <t>Bảng S của ảnh ngẫu nhiên (50, 60), truy vấn vùng [y1..y2, x1..x2] bất kỳ và vùng sát biên (0,0)</t>
        </is>
      </c>
      <c r="E17" s="21" t="inlineStr">
        <is>
          <t>Kết quả khớp 100% với np.sum(img[y1:y2+1, x1:x2+1]), hỗ trợ truyền mảng chỉ số vector hóa</t>
        </is>
      </c>
      <c r="F17" s="21" t="inlineStr">
        <is>
          <t>scalar_match=True (tổng=67942), vec_match=True trên mảng tọa độ</t>
        </is>
      </c>
      <c r="G17" s="22" t="inlineStr">
        <is>
          <t>PASS</t>
        </is>
      </c>
      <c r="H17" s="21" t="inlineStr">
        <is>
          <t>integral_threshold.py (dòng 25-32)</t>
        </is>
      </c>
      <c r="I17" s="21" t="inlineStr">
        <is>
          <t>Công thức bao hàm-loại trừ O(1) chính xác và vector hóa hoàn toàn</t>
        </is>
      </c>
    </row>
    <row r="18" ht="40" customHeight="1">
      <c r="A18" s="22" t="inlineStr">
        <is>
          <t>TC_P2_04</t>
        </is>
      </c>
      <c r="B18" s="23" t="inlineStr">
        <is>
          <t>Adaptive Threshold</t>
        </is>
      </c>
      <c r="C18" s="23" t="inlineStr">
        <is>
          <t>local_mean_std</t>
        </is>
      </c>
      <c r="D18" s="24" t="inlineStr">
        <is>
          <t>Ảnh phẳng hoàn toàn (100, 100) uint8 (mọi pixel = 200), radius=15</t>
        </is>
      </c>
      <c r="E18" s="24" t="inlineStr">
        <is>
          <t>mean = 200.0, std = 0.0, kích thước (100, 100) float64, tuyệt đối không xuất hiện NaN</t>
        </is>
      </c>
      <c r="F18" s="24" t="inlineStr">
        <is>
          <t>shape=(100, 100), dtype=float64, mean=200.0, std=0.0, has_nan=False</t>
        </is>
      </c>
      <c r="G18" s="22" t="inlineStr">
        <is>
          <t>PASS</t>
        </is>
      </c>
      <c r="H18" s="24" t="inlineStr">
        <is>
          <t>integral_threshold.py (dòng 35-55)</t>
        </is>
      </c>
      <c r="I18" s="24" t="inlineStr">
        <is>
          <t>Đã kẹp np.maximum(var, 0.0) trước khi lấy căn bậc hai</t>
        </is>
      </c>
    </row>
    <row r="19" ht="40" customHeight="1">
      <c r="A19" s="19" t="inlineStr">
        <is>
          <t>TC_P2_05</t>
        </is>
      </c>
      <c r="B19" s="20" t="inlineStr">
        <is>
          <t>Adaptive Threshold</t>
        </is>
      </c>
      <c r="C19" s="20" t="inlineStr">
        <is>
          <t>local_mean_std</t>
        </is>
      </c>
      <c r="D19" s="21" t="inlineStr">
        <is>
          <t>Ảnh ngẫu nhiên (80, 120) uint8, radius=10 (kiểm tra xử lý cửa sổ bị cắt ở sát biên ảnh)</t>
        </is>
      </c>
      <c r="E19" s="21" t="inlineStr">
        <is>
          <t>Trả về (mean, std) shape (80, 120) float64, khớp 100% với brute-force (atol=1e-9)</t>
        </is>
      </c>
      <c r="F19" s="21" t="inlineStr">
        <is>
          <t>self_test() PASS tại r=(1,3,7,20), biên (0,0) khớp tuyệt đối với brute-force</t>
        </is>
      </c>
      <c r="G19" s="22" t="inlineStr">
        <is>
          <t>PASS</t>
        </is>
      </c>
      <c r="H19" s="21" t="inlineStr">
        <is>
          <t>integral_threshold.py (self_test dòng 102-119)</t>
        </is>
      </c>
      <c r="I19" s="21" t="inlineStr">
        <is>
          <t>Chia diện tích thực tế n = (y2-y1+1)*(x2-x1+1) ở biên rất chuẩn</t>
        </is>
      </c>
    </row>
    <row r="20" ht="40" customHeight="1">
      <c r="A20" s="22" t="inlineStr">
        <is>
          <t>TC_P2_06</t>
        </is>
      </c>
      <c r="B20" s="23" t="inlineStr">
        <is>
          <t>Adaptive Threshold</t>
        </is>
      </c>
      <c r="C20" s="23" t="inlineStr">
        <is>
          <t>adaptive_threshold</t>
        </is>
      </c>
      <c r="D20" s="24" t="inlineStr">
        <is>
          <t>Ảnh văn bản chiếu sáng không đều (256, 256) uint8, method='bradley', radius=15, t=0.15</t>
        </is>
      </c>
      <c r="E20" s="24" t="inlineStr">
        <is>
          <t>Chữ ký hàm mặc định method='bradley', t=0.15, k=0.34; trả về (H, W) uint8 chỉ gồm {0, 255}</t>
        </is>
      </c>
      <c r="F20" s="24" t="inlineStr">
        <is>
          <t>Đầu ra uint8 gồm {0, 255} đúng quy tắc I &lt; T, NHƯNG tham số mặc định đang để method='sauvola', k=0.3</t>
        </is>
      </c>
      <c r="G20" s="22" t="inlineStr">
        <is>
          <t>FAIL</t>
        </is>
      </c>
      <c r="H20" s="24" t="inlineStr">
        <is>
          <t>integral_threshold.py (dòng 58)</t>
        </is>
      </c>
      <c r="I20" s="24" t="inlineStr">
        <is>
          <t>Xem BUG_06: Cần sửa tham số mặc định thành method='bradley', t=0.15, k=0.34</t>
        </is>
      </c>
    </row>
    <row r="21" ht="40" customHeight="1">
      <c r="A21" s="19" t="inlineStr">
        <is>
          <t>TC_P2_07</t>
        </is>
      </c>
      <c r="B21" s="20" t="inlineStr">
        <is>
          <t>Adaptive Threshold</t>
        </is>
      </c>
      <c r="C21" s="20" t="inlineStr">
        <is>
          <t>adaptive_threshold</t>
        </is>
      </c>
      <c r="D21" s="21" t="inlineStr">
        <is>
          <t>Ảnh có vùng nền phẳng rộng kèm nhiễu nhẹ (200, 300), method='sauvola', radius=15, k=0.3</t>
        </is>
      </c>
      <c r="E21" s="21" t="inlineStr">
        <is>
          <t>Trả về ảnh uint8 gồm {0, 255}, vùng nền phẳng sạch nhiễu hơn hẳn Bradley-Roth</t>
        </is>
      </c>
      <c r="F21" s="21" t="inlineStr">
        <is>
          <t>Số pixel bị gán là chữ: Bradley=13235 (nhiễu nặng), Sauvola=1504 (khớp nét chữ thật ~1500px)</t>
        </is>
      </c>
      <c r="G21" s="22" t="inlineStr">
        <is>
          <t>PASS</t>
        </is>
      </c>
      <c r="H21" s="21" t="inlineStr">
        <is>
          <t>integral_threshold.py (exp4_flat) &amp; k2_04_nen_phang.png</t>
        </is>
      </c>
      <c r="I21" s="21" t="inlineStr">
        <is>
          <t>Chứng minh rất thuyết phục ưu điểm của Sauvola trên nền phẳng</t>
        </is>
      </c>
    </row>
    <row r="22" ht="40" customHeight="1">
      <c r="A22" s="22" t="inlineStr">
        <is>
          <t>TC_P3_01</t>
        </is>
      </c>
      <c r="B22" s="23" t="inlineStr">
        <is>
          <t>Multiscale Hough</t>
        </is>
      </c>
      <c r="C22" s="23" t="inlineStr">
        <is>
          <t>hough_accumulate</t>
        </is>
      </c>
      <c r="D22" s="24" t="inlineStr">
        <is>
          <t>Kiểm tra chữ ký hàm, thứ tự trả về (A, thetas, rhos) và đỉnh trên ảnh đường thẳng tổng hợp</t>
        </is>
      </c>
      <c r="E22" s="24" t="inlineStr">
        <is>
          <t>Đúng chữ ký đặc tả mục 4.6: hough_accumulate(edges, theta_range, rho_range, n_theta, n_rho, grad_dir=None, delta_deg=None) -&gt; trả về (A, thetas, rhos)</t>
        </is>
      </c>
      <c r="F22" s="24" t="inlineStr">
        <is>
          <t>Chữ ký sai: (edges, delta_deg=1.0, grad_dir=None, grad_delta=10.0) và trả về ngược thứ tự (A, rhos, thetas_deg)</t>
        </is>
      </c>
      <c r="G22" s="22" t="inlineStr">
        <is>
          <t>FAIL</t>
        </is>
      </c>
      <c r="H22" s="24" t="inlineStr">
        <is>
          <t>Hough.py (dòng 4-50) &amp; P3_Hough.ipynb</t>
        </is>
      </c>
      <c r="I22" s="24" t="inlineStr">
        <is>
          <t>Xem BUG_08: Sai danh sách tham số đầu vào và ngược thứ tự tuple trả về</t>
        </is>
      </c>
    </row>
    <row r="23" ht="40" customHeight="1">
      <c r="A23" s="19" t="inlineStr">
        <is>
          <t>TC_P3_02</t>
        </is>
      </c>
      <c r="B23" s="20" t="inlineStr">
        <is>
          <t>Multiscale Hough</t>
        </is>
      </c>
      <c r="C23" s="20" t="inlineStr">
        <is>
          <t>hough_accumulate</t>
        </is>
      </c>
      <c r="D23" s="21" t="inlineStr">
        <is>
          <t>Ảnh biên tổng hợp kèm hướng gradient grad_dir và dung sai góc</t>
        </is>
      </c>
      <c r="E23" s="21" t="inlineStr">
        <is>
          <t>Lọc góc trong dải +-delta_deg quanh hướng gradient (mod 180), giảm thời gian và sạch nền A</t>
        </is>
      </c>
      <c r="F23" s="21" t="inlineStr">
        <is>
          <t>Logic lọc mặt nạ góc tuần hoàn quanh grad_dir hoạt động được, nhưng tên tham số đang đặt là grad_delta thay vì delta_deg</t>
        </is>
      </c>
      <c r="G23" s="22" t="inlineStr">
        <is>
          <t>FAIL</t>
        </is>
      </c>
      <c r="H23" s="21" t="inlineStr">
        <is>
          <t>Hough.py (dòng 4, 29-42)</t>
        </is>
      </c>
      <c r="I23" s="21" t="inlineStr">
        <is>
          <t>Xem BUG_08: Cần đổi tên tham số cho đúng đặc tả và bổ sung thí nghiệm bật/tắt gradient</t>
        </is>
      </c>
    </row>
    <row r="24" ht="40" customHeight="1">
      <c r="A24" s="22" t="inlineStr">
        <is>
          <t>TC_P3_03</t>
        </is>
      </c>
      <c r="B24" s="23" t="inlineStr">
        <is>
          <t>Multiscale Hough</t>
        </is>
      </c>
      <c r="C24" s="23" t="inlineStr">
        <is>
          <t>find_peaks</t>
        </is>
      </c>
      <c r="D24" s="24" t="inlineStr">
        <is>
          <t>Mảng tích lũy A, n_peaks=5, nms_radius=3, smooth_sigma=1.0</t>
        </is>
      </c>
      <c r="E24" s="24" t="inlineStr">
        <is>
          <t>Làm mượt A bằng hàm convolve2d tự viết ở Phần A (cấm dùng scipy), trả về danh sách (rho, theta, votes) giảm dần</t>
        </is>
      </c>
      <c r="F24" s="24" t="inlineStr">
        <is>
          <t>VI PHẠM THƯ VIỆN: Đang gọi scipy.signal.convolve2d (dòng 61-62); chỉ trả về (peak_y, peak_x) thay vì [(rho, theta, votes)]</t>
        </is>
      </c>
      <c r="G24" s="22" t="inlineStr">
        <is>
          <t>FAIL</t>
        </is>
      </c>
      <c r="H24" s="24" t="inlineStr">
        <is>
          <t>Hough.py (dòng 60-90) &amp; P3_Hough.ipynb (Cell 3)</t>
        </is>
      </c>
      <c r="I24" s="24" t="inlineStr">
        <is>
          <t>Xem BUG_09 &amp; BUG_10: Phải bỏ scipy.signal.convolve2d và sửa kiểu trả về</t>
        </is>
      </c>
    </row>
    <row r="25" ht="40" customHeight="1">
      <c r="A25" s="19" t="inlineStr">
        <is>
          <t>TC_P3_04</t>
        </is>
      </c>
      <c r="B25" s="20" t="inlineStr">
        <is>
          <t>Multiscale Hough</t>
        </is>
      </c>
      <c r="C25" s="20" t="inlineStr">
        <is>
          <t>hough_multiscale</t>
        </is>
      </c>
      <c r="D25" s="21" t="inlineStr">
        <is>
          <t>Bài test bắt buộc mục 4.3 PDF: Đường thẳng gần thẳng đứng tại theta_0 = 0.5 độ và theta_0 = 179.5 độ (rho = -80)</t>
        </is>
      </c>
      <c r="E25" s="21" t="inlineStr">
        <is>
          <t>Xử lý quấn vòng góc quanh 0° và 180° kèm ĐỔI DẤU rho (-rho, theta+pi), phát hiện đúng 179.5° và -80</t>
        </is>
      </c>
      <c r="F25" s="21" t="inlineStr">
        <is>
          <t>Với đường đơn lẻ (rho=-80, theta=179.5°), hàm trả về sai thành (rho=81, theta=0.0°) vì quên đổi dấu rho khi quấn góc % 180</t>
        </is>
      </c>
      <c r="G25" s="22" t="inlineStr">
        <is>
          <t>FAIL</t>
        </is>
      </c>
      <c r="H25" s="21" t="inlineStr">
        <is>
          <t>Hough.py (dòng 104-126) &amp; P3_Hough.ipynb (Cell 9)</t>
        </is>
      </c>
      <c r="I25" s="21" t="inlineStr">
        <is>
          <t>Xem BUG_11: Bẫy quấn vòng mục 4.3 &amp; 5.1 PDF - mất khả năng tinh chỉnh qua biên 0°/180°</t>
        </is>
      </c>
    </row>
    <row r="26" ht="40" customHeight="1">
      <c r="A26" s="22" t="inlineStr">
        <is>
          <t>TC_P3_05</t>
        </is>
      </c>
      <c r="B26" s="23" t="inlineStr">
        <is>
          <t>Multiscale Hough</t>
        </is>
      </c>
      <c r="C26" s="23" t="inlineStr">
        <is>
          <t>hough_multiscale</t>
        </is>
      </c>
      <c r="D26" s="24" t="inlineStr">
        <is>
          <t>Ảnh chứa đồng thời đoạn thẳng rất dài và đoạn thẳng rất ngắn; khảo sát nhiều tầng n_levels và refine_factor</t>
        </is>
      </c>
      <c r="E26" s="24" t="inlineStr">
        <is>
          <t>Hỗ trợ n_levels, refine_factor, chỉ lọc điểm biên thuộc ô thô bỏ phiếu lại; phát hiện được cả đoạn dài và đoạn ngắn</t>
        </is>
      </c>
      <c r="F26" s="24" t="inlineStr">
        <is>
          <t>Hàm mới chỉ chạy cứng 2 mức (coarse/fine), quét lại toàn bộ điểm biên; trong Cell 8 đoạn ngắn vẽ thành ô vuông 5x5 và không phát hiện được</t>
        </is>
      </c>
      <c r="G26" s="22" t="inlineStr">
        <is>
          <t>FAIL</t>
        </is>
      </c>
      <c r="H26" s="24" t="inlineStr">
        <is>
          <t>Hough.py (dòng 92-133) &amp; P3_Hough.ipynb (Cell 8-9)</t>
        </is>
      </c>
      <c r="I26" s="24" t="inlineStr">
        <is>
          <t>Xem BUG_12 &amp; BUG_13: Cần hỗ trợ n_levels, refine_factor và sửa thí nghiệm đoạn ngắn</t>
        </is>
      </c>
    </row>
    <row r="27" ht="40" customHeight="1">
      <c r="A27" s="19" t="inlineStr">
        <is>
          <t>TC_INT_01</t>
        </is>
      </c>
      <c r="B27" s="20" t="inlineStr">
        <is>
          <t>Integration &amp; QC</t>
        </is>
      </c>
      <c r="C27" s="20" t="inlineStr">
        <is>
          <t>P1_CLAHE.ipynb</t>
        </is>
      </c>
      <c r="D27" s="21" t="inlineStr">
        <is>
          <t>Rà soát quy định thư viện và khai báo Prompt AI trong notebook Phần 1 (CLAHE)</t>
        </is>
      </c>
      <c r="E27" s="21" t="inlineStr">
        <is>
          <t>Không dùng hàm bị cấm; mọi cell thí nghiệm dùng AI đều có ô Markdown khai báo đúng mẫu</t>
        </is>
      </c>
      <c r="F27" s="21" t="inlineStr">
        <is>
          <t>Đạt 99% (Chỉ có 1 lỗi gõ nhầm 'Gemini 4 argon' tại Cell 14 cần xóa chữ '4 argon')</t>
        </is>
      </c>
      <c r="G27" s="22" t="inlineStr">
        <is>
          <t>PASS</t>
        </is>
      </c>
      <c r="H27" s="21" t="inlineStr">
        <is>
          <t>experiments/P1_CLAHE.ipynb (Cell 7, 10, 14)</t>
        </is>
      </c>
      <c r="I27" s="21" t="inlineStr">
        <is>
          <t>Phần 1 (CLAHE) đã hoàn thiện đầy đủ cả code lẫn thí nghiệm</t>
        </is>
      </c>
    </row>
    <row r="28" ht="40" customHeight="1">
      <c r="A28" s="22" t="inlineStr">
        <is>
          <t>TC_INT_02</t>
        </is>
      </c>
      <c r="B28" s="23" t="inlineStr">
        <is>
          <t>Integration &amp; QC</t>
        </is>
      </c>
      <c r="C28" s="23" t="inlineStr">
        <is>
          <t>integral_threshold.py (P2)</t>
        </is>
      </c>
      <c r="D28" s="24" t="inlineStr">
        <is>
          <t>Rà soát thí nghiệm Kỹ thuật 2 (đủ 4 phương pháp so sánh, đủ 7 bán kính thời gian, khai báo AI trong Notebook)</t>
        </is>
      </c>
      <c r="E28" s="24" t="inlineStr">
        <is>
          <t>So sánh đủ 4 phương pháp (Thủ công, Otsu, Bradley, Sauvola); đo thời gian đủ r={1,2,4,8,16,32,64}; đóng gói vào Notebook</t>
        </is>
      </c>
      <c r="F28" s="24" t="inlineStr">
        <is>
          <t>Đã có 5 ảnh PNG rất đẹp, nhưng thiếu r=1 ở đồ thị thời gian, thiếu ngưỡng thủ công ở hình so sánh, chưa đưa vào .ipynb kèm Prompt AI</t>
        </is>
      </c>
      <c r="G28" s="22" t="inlineStr">
        <is>
          <t>FAIL</t>
        </is>
      </c>
      <c r="H28" s="24" t="inlineStr">
        <is>
          <t>integral_threshold.py &amp; k2_01..k2_05.png</t>
        </is>
      </c>
      <c r="I28" s="24" t="inlineStr">
        <is>
          <t>Xem BUG_07: Bổ sung r=1, ngưỡng thủ công, nét chữ dày rỗng ruột và đưa vào Notebook</t>
        </is>
      </c>
    </row>
    <row r="29" ht="40" customHeight="1">
      <c r="A29" s="19" t="inlineStr">
        <is>
          <t>TC_INT_03</t>
        </is>
      </c>
      <c r="B29" s="20" t="inlineStr">
        <is>
          <t>Integration &amp; QC</t>
        </is>
      </c>
      <c r="C29" s="20" t="inlineStr">
        <is>
          <t>P3_Hough.ipynb &amp; main.ipynb</t>
        </is>
      </c>
      <c r="D29" s="21" t="inlineStr">
        <is>
          <t>Rà soát thí nghiệm Kỹ thuật 3 (mục 4.7a, 4.7b, 4.7c) và tích hợp toàn bộ vào main.ipynb</t>
        </is>
      </c>
      <c r="E29" s="21" t="inlineStr">
        <is>
          <t>Đủ thí nghiệm quét 4x4 (d_theta, d_rho), đồ thị sai số theo tầng n, bảng 3 chỉ số (thô, mịn, đa tỉ lệ), bật/tắt gradient</t>
        </is>
      </c>
      <c r="F29" s="21" t="inlineStr">
        <is>
          <t>P3_Hough.ipynb mới có 1 test nhỏ, thiếu toàn bộ thí nghiệm mục 4.7a, 4.7b và 4.7c; chưa có file cau_A.py (convolve2d)</t>
        </is>
      </c>
      <c r="G29" s="22" t="inlineStr">
        <is>
          <t>FAIL</t>
        </is>
      </c>
      <c r="H29" s="21" t="inlineStr">
        <is>
          <t>P3_Hough.ipynb &amp; src/</t>
        </is>
      </c>
      <c r="I29" s="21" t="inlineStr">
        <is>
          <t>Xem BUG_03 &amp; BUG_13: Cần bổ sung hàm convolve2d Phần A và hoàn thiện thí nghiệm P3</t>
        </is>
      </c>
    </row>
  </sheetData>
  <autoFilter ref="A4:I29"/>
  <conditionalFormatting sqref="G5:G29">
    <cfRule type="cellIs" priority="1" operator="equal" dxfId="0">
      <formula>"PASS"</formula>
    </cfRule>
    <cfRule type="cellIs" priority="2" operator="equal" dxfId="1">
      <formula>"PENDING"</formula>
    </cfRule>
    <cfRule type="cellIs" priority="3" operator="equal" dxfId="2">
      <formula>"FAIL"</formula>
    </cfRule>
  </conditionalFormatting>
  <dataValidations count="1">
    <dataValidation sqref="G5:G29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2" customWidth="1" min="4" max="4"/>
    <col width="34" customWidth="1" min="5" max="5"/>
    <col width="38" customWidth="1" min="6" max="6"/>
    <col width="42" customWidth="1" min="7" max="7"/>
    <col width="46" customWidth="1" min="8" max="8"/>
    <col width="16" customWidth="1" min="9" max="9"/>
  </cols>
  <sheetData>
    <row r="1">
      <c r="A1" s="1" t="inlineStr">
        <is>
          <t>NHẬT KÝ GHI NHẬN LỖI &amp; YÊU CẦU CHỈNH SỬA (BUG LOG DÀNH CHO NGƯỜI 4 BÁO LẠI NHÓM)</t>
        </is>
      </c>
    </row>
    <row r="2">
      <c r="A2" s="2" t="inlineStr">
        <is>
          <t>Ghi rõ: Hàm liên quan, dữ liệu thử, kết quả mong đợi, kết quả thực tế, cách tái hiện và trạng thái xử lý</t>
        </is>
      </c>
    </row>
    <row r="4" ht="28" customHeight="1">
      <c r="A4" s="4" t="inlineStr">
        <is>
          <t>Mã lỗi (Bug ID)</t>
        </is>
      </c>
      <c r="B4" s="4" t="inlineStr">
        <is>
          <t>Phần / Hàm liên quan</t>
        </is>
      </c>
      <c r="C4" s="4" t="inlineStr">
        <is>
          <t>Người phụ trách sửa</t>
        </is>
      </c>
      <c r="D4" s="4" t="inlineStr">
        <is>
          <t>Mức độ</t>
        </is>
      </c>
      <c r="E4" s="4" t="inlineStr">
        <is>
          <t>Dữ liệu thử / Vị trí phát hiện</t>
        </is>
      </c>
      <c r="F4" s="4" t="inlineStr">
        <is>
          <t>Kết quả mong đợi (Theo PDF)</t>
        </is>
      </c>
      <c r="G4" s="4" t="inlineStr">
        <is>
          <t>Kết quả thực tế khi chạy</t>
        </is>
      </c>
      <c r="H4" s="4" t="inlineStr">
        <is>
          <t>Cách tái hiện &amp; Yêu cầu sửa (Không sửa thay code)</t>
        </is>
      </c>
      <c r="I4" s="4" t="inlineStr">
        <is>
          <t>Trạng thái</t>
        </is>
      </c>
    </row>
    <row r="5" ht="54" customHeight="1">
      <c r="A5" s="19" t="inlineStr">
        <is>
          <t>BUG_01</t>
        </is>
      </c>
      <c r="B5" s="20" t="inlineStr">
        <is>
          <t>P1_CLAHE.ipynb (Cell 14 - Markdown)</t>
        </is>
      </c>
      <c r="C5" s="20" t="inlineStr">
        <is>
          <t>Người 1 / Người 5</t>
        </is>
      </c>
      <c r="D5" s="19" t="inlineStr">
        <is>
          <t>Thấp (Trình bày)</t>
        </is>
      </c>
      <c r="E5" s="21" t="inlineStr">
        <is>
          <t>Ô Markdown khai báo AI ngay trên Cell 15 (So sánh 4 phương pháp)</t>
        </is>
      </c>
      <c r="F5" s="21" t="inlineStr">
        <is>
          <t>Ghi đúng tên công cụ: 'Công cụ: Gemini'</t>
        </is>
      </c>
      <c r="G5" s="21" t="inlineStr">
        <is>
          <t>Đang bị dư chữ lạ do gõ nhầm: 'Công cụ: Gemini  4 argon'</t>
        </is>
      </c>
      <c r="H5" s="21" t="inlineStr">
        <is>
          <t>Mở experiments/P1_CLAHE.ipynb tại Cell 14, xóa chữ '4 argon' để đồng bộ với Cell 7 và Cell 10.</t>
        </is>
      </c>
      <c r="I5" s="22" t="inlineStr">
        <is>
          <t>OPEN</t>
        </is>
      </c>
    </row>
    <row r="6" ht="54" customHeight="1">
      <c r="A6" s="22" t="inlineStr">
        <is>
          <t>BUG_02</t>
        </is>
      </c>
      <c r="B6" s="23" t="inlineStr">
        <is>
          <t>Thư mục src/ (Đặt tên file module)</t>
        </is>
      </c>
      <c r="C6" s="23" t="inlineStr">
        <is>
          <t>Cả nhóm (Người 1, 2, 3, 4, 5)</t>
        </is>
      </c>
      <c r="D6" s="22" t="inlineStr">
        <is>
          <t>Trung bình (Tích hợp)</t>
        </is>
      </c>
      <c r="E6" s="24" t="inlineStr">
        <is>
          <t>Đối chiếu tên file của 3 người: P1_CLAHE.py, integral_threshold.py, Hough.py</t>
        </is>
      </c>
      <c r="F6" s="24" t="inlineStr">
        <is>
          <t>Thống nhất tên file và cách import trong main.ipynb</t>
        </is>
      </c>
      <c r="G6" s="24" t="inlineStr">
        <is>
          <t>Tên file đang đặt theo 3 kiểu khác nhau (P1_CLAHE.py, integral_threshold.py, Hough.py)</t>
        </is>
      </c>
      <c r="H6" s="24" t="inlineStr">
        <is>
          <t>Thống nhất quy ước tên file trong src/ trước khi ghép vào main.ipynb để tránh lỗi ImportError.</t>
        </is>
      </c>
      <c r="I6" s="22" t="inlineStr">
        <is>
          <t>OPEN</t>
        </is>
      </c>
    </row>
    <row r="7" ht="54" customHeight="1">
      <c r="A7" s="19" t="inlineStr">
        <is>
          <t>BUG_03</t>
        </is>
      </c>
      <c r="B7" s="20" t="inlineStr">
        <is>
          <t>Phụ thuộc Phần A (cau_A.py / convolve2d)</t>
        </is>
      </c>
      <c r="C7" s="20" t="inlineStr">
        <is>
          <t>Người 3 + Cả nhóm</t>
        </is>
      </c>
      <c r="D7" s="19" t="inlineStr">
        <is>
          <t>Cao (Phụ thuộc bắt buộc)</t>
        </is>
      </c>
      <c r="E7" s="21" t="inlineStr">
        <is>
          <t>Dòng 2 trong Hough.py: 'from cau_A import convolve2d'</t>
        </is>
      </c>
      <c r="F7" s="21" t="inlineStr">
        <is>
          <t>File cau_A.py chứa hàm convolve2d tự viết ở Phần A phải có mặt trong src/</t>
        </is>
      </c>
      <c r="G7" s="21" t="inlineStr">
        <is>
          <t>Chưa có file cau_A.py trong thư mục dự án nên nếu bỏ scipy sẽ báo lỗi ModuleNotFoundError: No module named 'cau_A'</t>
        </is>
      </c>
      <c r="H7" s="21" t="inlineStr">
        <is>
          <t>Nhóm cần copy ngay file cau_A.py (chứa hàm convolve2d tự viết ở Phần A) vào cùng thư mục src/.</t>
        </is>
      </c>
      <c r="I7" s="22" t="inlineStr">
        <is>
          <t>OPEN</t>
        </is>
      </c>
    </row>
    <row r="8" ht="54" customHeight="1">
      <c r="A8" s="22" t="inlineStr">
        <is>
          <t>BUG_04</t>
        </is>
      </c>
      <c r="B8" s="23" t="inlineStr">
        <is>
          <t>P1_CLAHE.py (Kiểm thử biên tự động)</t>
        </is>
      </c>
      <c r="C8" s="23" t="inlineStr">
        <is>
          <t>Người 1</t>
        </is>
      </c>
      <c r="D8" s="22" t="inlineStr">
        <is>
          <t>Thấp (Bổ sung test)</t>
        </is>
      </c>
      <c r="E8" s="24" t="inlineStr">
        <is>
          <t>Khối if __name__ == '__main__': trong src/P1_CLAHE.py</t>
        </is>
      </c>
      <c r="F8" s="24" t="inlineStr">
        <is>
          <t>Có sẵn assert cho cả ảnh phẳng đồng nhất và grid=(1,1)</t>
        </is>
      </c>
      <c r="G8" s="24" t="inlineStr">
        <is>
          <t>Hàm chạy PASS 100% với ảnh phẳng và grid=(1,1), chỉ cần dán thêm 2 dòng assert vào Cell 5 cho đầy đủ</t>
        </is>
      </c>
      <c r="H8" s="24" t="inlineStr">
        <is>
          <t>Bổ sung thêm assert ảnh phẳng (64x64) và ảnh nhỏ grid=(1,1) vào Cell 5 của P1_CLAHE.ipynb.</t>
        </is>
      </c>
      <c r="I8" s="22" t="inlineStr">
        <is>
          <t>RESOLVED</t>
        </is>
      </c>
    </row>
    <row r="9" ht="54" customHeight="1">
      <c r="A9" s="19" t="inlineStr">
        <is>
          <t>BUG_05</t>
        </is>
      </c>
      <c r="B9" s="20" t="inlineStr">
        <is>
          <t>Kỹ thuật 2: integral_image(img)</t>
        </is>
      </c>
      <c r="C9" s="20" t="inlineStr">
        <is>
          <t>Người 2</t>
        </is>
      </c>
      <c r="D9" s="19" t="inlineStr">
        <is>
          <t>Trung bình (Đặc tả kiểu dữ liệu)</t>
        </is>
      </c>
      <c r="E9" s="21" t="inlineStr">
        <is>
          <t>Gọi integral_image(np.ones((3,3), dtype=np.uint8)).dtype tại dòng 13-22 file integral_threshold.py</t>
        </is>
      </c>
      <c r="F9" s="21" t="inlineStr">
        <is>
          <t>Trả về bảng S kích thước (H+1, W+1), kiểu dữ liệu dtype = int64 (theo mục 3.5 trang 8 PDF)</t>
        </is>
      </c>
      <c r="G9" s="21" t="inlineStr">
        <is>
          <t>Hàm trả về S có kích thước (4, 4) và giá trị đúng, nhưng dtype = float64</t>
        </is>
      </c>
      <c r="H9" s="21" t="inlineStr">
        <is>
          <t>Báo Người 2 sửa kiểu dữ liệu trong hàm integral_image(img) từ np.float64 sang np.int64 (lưu ý ép kiểu img.astype(np.int64) trước khi nhân img*img ở local_mean_std).</t>
        </is>
      </c>
      <c r="I9" s="22" t="inlineStr">
        <is>
          <t>OPEN</t>
        </is>
      </c>
    </row>
    <row r="10" ht="54" customHeight="1">
      <c r="A10" s="22" t="inlineStr">
        <is>
          <t>BUG_06</t>
        </is>
      </c>
      <c r="B10" s="23" t="inlineStr">
        <is>
          <t>Kỹ thuật 2: adaptive_threshold(...)</t>
        </is>
      </c>
      <c r="C10" s="23" t="inlineStr">
        <is>
          <t>Người 2</t>
        </is>
      </c>
      <c r="D10" s="22" t="inlineStr">
        <is>
          <t>Thấp (Đặc tả tham số mặc định)</t>
        </is>
      </c>
      <c r="E10" s="24" t="inlineStr">
        <is>
          <t>Kiểm tra chữ ký hàm tại dòng 58 file integral_threshold.py</t>
        </is>
      </c>
      <c r="F10" s="24" t="inlineStr">
        <is>
          <t>def adaptive_threshold(img, radius=15, method='bradley', t=0.15, k=0.34): (mục 3.5 trang 8 PDF)</t>
        </is>
      </c>
      <c r="G10" s="24" t="inlineStr">
        <is>
          <t>Đang viết: def adaptive_threshold(img, radius=15, method='sauvola', t=0.15, k=0.3, R=128.0):</t>
        </is>
      </c>
      <c r="H10" s="24" t="inlineStr">
        <is>
          <t>Báo Người 2 chỉnh lại giá trị mặc định trên dòng def thành method='bradley', t=0.15, k=0.34 để khớp tuyệt đối với đặc tả.</t>
        </is>
      </c>
      <c r="I10" s="22" t="inlineStr">
        <is>
          <t>OPEN</t>
        </is>
      </c>
    </row>
    <row r="11" ht="54" customHeight="1">
      <c r="A11" s="19" t="inlineStr">
        <is>
          <t>BUG_07</t>
        </is>
      </c>
      <c r="B11" s="20" t="inlineStr">
        <is>
          <t>Kỹ thuật 2: Phần thí nghiệm (exp1, exp2, exp5) &amp; Notebook</t>
        </is>
      </c>
      <c r="C11" s="20" t="inlineStr">
        <is>
          <t>Người 2 + Người 5</t>
        </is>
      </c>
      <c r="D11" s="19" t="inlineStr">
        <is>
          <t>Trung bình (Thí nghiệm bắt buộc)</t>
        </is>
      </c>
      <c r="E11" s="21" t="inlineStr">
        <is>
          <t>Kiểm tra các hàm exp1_global_vs_adaptive, exp2_radius, exp5_timing trong integral_threshold.py và ảnh k2_01..k2_05.png</t>
        </is>
      </c>
      <c r="F11" s="21" t="inlineStr">
        <is>
          <t>(1) Mục 3.4: Quét đủ 7 bán kính r in {1, 2, 4, 8, 16, 32, 64} với tích chập trực tiếp O(r^2), tách được O(r), ảnh tích phân O(1); (2) Mục 3.6a: Thể hiện rõ nét chữ dày bị rỗng ruột khi r quá nhỏ; (3) Mục 3.6b: So sánh đủ 4 phương pháp (Thủ công, Otsu, Bradley, Sauvola); (4) Đưa vào Notebook có khai báo AI.</t>
        </is>
      </c>
      <c r="G11" s="21" t="inlineStr">
        <is>
          <t>(1) exp5_timing mới quét [2, 4, 8, 16, 32, 64] (thiếu r=1); (2) exp1 mới vẽ 3 phương pháp (thiếu ngưỡng cố định thủ công); (3) Nét chữ trong ảnh doc hơi mảnh nên tại r=5 chưa thấy rõ hiện tượng rỗng ruột; (4) Đang để dạng file .py rời, chưa có ô Markdown khai báo Prompt AI.</t>
        </is>
      </c>
      <c r="H11" s="21" t="inlineStr">
        <is>
          <t>Báo Người 2 &amp; Người 5: Thêm r=1 vào mảng radii; thêm 1 cột Ngưỡng cố định thủ công vào exp1; thêm 1 chữ/hình nét dày vào exp2 để lộ hiện tượng rỗng ruột ở r nhỏ; đóng gói vào Notebook kèm khai báo AI.</t>
        </is>
      </c>
      <c r="I11" s="22" t="inlineStr">
        <is>
          <t>OPEN</t>
        </is>
      </c>
    </row>
    <row r="12" ht="54" customHeight="1">
      <c r="A12" s="22" t="inlineStr">
        <is>
          <t>BUG_08</t>
        </is>
      </c>
      <c r="B12" s="23" t="inlineStr">
        <is>
          <t>Kỹ thuật 3: hough_accumulate(...)</t>
        </is>
      </c>
      <c r="C12" s="23" t="inlineStr">
        <is>
          <t>Người 3</t>
        </is>
      </c>
      <c r="D12" s="22" t="inlineStr">
        <is>
          <t>Cao (Sai đặc tả hàm mục 4.6)</t>
        </is>
      </c>
      <c r="E12" s="24" t="inlineStr">
        <is>
          <t>Kiểm tra chữ ký và giá trị trả về của hough_accumulate tại dòng 4 và dòng 50 file Hough.py</t>
        </is>
      </c>
      <c r="F12" s="24" t="inlineStr">
        <is>
          <t>def hough_accumulate(edges, theta_range, rho_range, n_theta, n_rho, grad_dir=None, delta_deg=None): -&gt; Trả về (A, thetas, rhos)</t>
        </is>
      </c>
      <c r="G12" s="24" t="inlineStr">
        <is>
          <t>Đang viết: def hough_accumulate(edges, delta_deg=1.0, grad_dir=None, grad_delta=10.0): -&gt; Trả về (A, rhos, thetas_deg)</t>
        </is>
      </c>
      <c r="H12" s="24" t="inlineStr">
        <is>
          <t>Báo Người 3 cập nhật lại tham số hàm nhận được (theta_range, rho_range, n_theta, n_rho, grad_dir=None, delta_deg=None) để hỗ trợ cả bước thô lẫn bước mịn đa tỉ lệ, và đảo thứ tự return thành (A, thetas, rhos).</t>
        </is>
      </c>
      <c r="I12" s="22" t="inlineStr">
        <is>
          <t>OPEN</t>
        </is>
      </c>
    </row>
    <row r="13" ht="54" customHeight="1">
      <c r="A13" s="19" t="inlineStr">
        <is>
          <t>BUG_09</t>
        </is>
      </c>
      <c r="B13" s="20" t="inlineStr">
        <is>
          <t>Kỹ thuật 3: find_peaks(...) - Vi phạm thư viện</t>
        </is>
      </c>
      <c r="C13" s="20" t="inlineStr">
        <is>
          <t>Người 3</t>
        </is>
      </c>
      <c r="D13" s="19" t="inlineStr">
        <is>
          <t>Nghiêm trọng (Cấm dùng scipy)</t>
        </is>
      </c>
      <c r="E13" s="21" t="inlineStr">
        <is>
          <t>Dòng 61-62 trong Hough.py và dòng 3 Cell 3 trong P3_Hough.ipynb</t>
        </is>
      </c>
      <c r="F13" s="21" t="inlineStr">
        <is>
          <t>Chỉ được dùng hàm convolve2d do nhóm tự viết ở Phần A (mục 4.6 trang 11 PDF)</t>
        </is>
      </c>
      <c r="G13" s="21" t="inlineStr">
        <is>
          <t>Đang import và gọi 'from scipy.signal import convolve2d' để làm mượt mảng tích lũy A</t>
        </is>
      </c>
      <c r="H13" s="21" t="inlineStr">
        <is>
          <t>Báo Người 3 xóa ngay dòng 'from scipy.signal import convolve2d' và chỉ gọi hàm convolve2d từ Phần A của nhóm.</t>
        </is>
      </c>
      <c r="I13" s="22" t="inlineStr">
        <is>
          <t>OPEN</t>
        </is>
      </c>
    </row>
    <row r="14" ht="54" customHeight="1">
      <c r="A14" s="22" t="inlineStr">
        <is>
          <t>BUG_10</t>
        </is>
      </c>
      <c r="B14" s="23" t="inlineStr">
        <is>
          <t>Kỹ thuật 3: find_peaks(...) - Sai kiểu trả về</t>
        </is>
      </c>
      <c r="C14" s="23" t="inlineStr">
        <is>
          <t>Người 3</t>
        </is>
      </c>
      <c r="D14" s="22" t="inlineStr">
        <is>
          <t>Cao (Sai đặc tả đầu ra)</t>
        </is>
      </c>
      <c r="E14" s="24" t="inlineStr">
        <is>
          <t>Dòng 89 trong Hough.py: 'return peak_y, peak_x'</t>
        </is>
      </c>
      <c r="F14" s="24" t="inlineStr">
        <is>
          <t>Trả về danh sách (rho, theta, votes) sắp xếp theo số phiếu giảm dần (mục 4.6 trang 11 PDF)</t>
        </is>
      </c>
      <c r="G14" s="24" t="inlineStr">
        <is>
          <t>Hàm chỉ trả về 2 mảng chỉ số (peak_y, peak_x), thiếu giá trị số phiếu (votes) và không lọc bỏ các phần tử bằng 0 khi số đỉnh thực tế &lt; n_peaks</t>
        </is>
      </c>
      <c r="H14" s="24" t="inlineStr">
        <is>
          <t>Báo Người 3 sửa phần trả về của find_peaks để trả về danh sách các bộ (rho, theta, votes) (hoặc chỉ số kèm votes) theo đúng đặc tả.</t>
        </is>
      </c>
      <c r="I14" s="22" t="inlineStr">
        <is>
          <t>OPEN</t>
        </is>
      </c>
    </row>
    <row r="15" ht="54" customHeight="1">
      <c r="A15" s="19" t="inlineStr">
        <is>
          <t>BUG_11</t>
        </is>
      </c>
      <c r="B15" s="20" t="inlineStr">
        <is>
          <t>Kỹ thuật 3: hough_multiscale(...) - Lỗi quấn góc 0°/180°</t>
        </is>
      </c>
      <c r="C15" s="20" t="inlineStr">
        <is>
          <t>Người 3</t>
        </is>
      </c>
      <c r="D15" s="19" t="inlineStr">
        <is>
          <t>Nghiêm trọng (Điểm chấm cứng mục 4.3 &amp; 5.1)</t>
        </is>
      </c>
      <c r="E15" s="21" t="inlineStr">
        <is>
          <t>Chạy hough_multiscale trên ảnh có 1 đường thẳng tại theta = 179.5°, rho = -80 (dòng 104-126 file Hough.py)</t>
        </is>
      </c>
      <c r="F15" s="21" t="inlineStr">
        <is>
          <t>Khi mở cửa sổ tinh chỉnh quanh theta* ~ 0°, phần góc âm quấn về phía 180° PHẢI KÈM THEO ĐỔI DẤU RHO (-rho, theta+pi). Phát hiện đúng theta = 179.5°, rho = -80.</t>
        </is>
      </c>
      <c r="G15" s="21" t="inlineStr">
        <is>
          <t>Hàm chỉ lấy 't_fine_range = t_fine_range % 180' mà không đổi dấu rho (hoặc không kiểm tra -rho trong r_fine_range [76..86]), khiến mọi phiếu ở 179.5° (có rho = -80) bị loại bỏ. Kết quả đoán sai thành theta = 0.0°, rho = 81. Ngoài ra trong NMS chưa xử lý tuần hoàn biên trái-phải của A nên 1 đường thẳng đứng sinh ra 2 đỉnh trùng lặp.</t>
        </is>
      </c>
      <c r="H15" s="21" t="inlineStr">
        <is>
          <t>Báo Người 3 đọc kỹ hộp cảnh báo 'Bẫy quấn vòng ở theta=0 và theta=pi' (trang 10 PDF): khi một góc trong cửa sổ lân cận bị âm (&lt; 0) hoặc &gt;= pi và phải quấn vòng (+-180°), thì giá trị rho tương ứng phải đổi dấu trước khi đối chiếu với dải r_fine_range围绕 r_c.</t>
        </is>
      </c>
      <c r="I15" s="22" t="inlineStr">
        <is>
          <t>OPEN</t>
        </is>
      </c>
    </row>
    <row r="16" ht="54" customHeight="1">
      <c r="A16" s="22" t="inlineStr">
        <is>
          <t>BUG_12</t>
        </is>
      </c>
      <c r="B16" s="23" t="inlineStr">
        <is>
          <t>Kỹ thuật 3: hough_multiscale(...) - Chữ ký &amp; Đa tầng</t>
        </is>
      </c>
      <c r="C16" s="23" t="inlineStr">
        <is>
          <t>Người 3</t>
        </is>
      </c>
      <c r="D16" s="22" t="inlineStr">
        <is>
          <t>Cao (Thiếu tham số đa tầng)</t>
        </is>
      </c>
      <c r="E16" s="24" t="inlineStr">
        <is>
          <t>Dòng 92-133 trong Hough.py: def hough_multiscale(edges, n_peaks, coarse_delta=2.0, fine_delta=0.1)</t>
        </is>
      </c>
      <c r="F16" s="24" t="inlineStr">
        <is>
          <t>def hough_multiscale(edges, grad_dir, n_levels=2, refine_factor=8, ...): Lặp qua n_levels tầng tinh chỉnh với hệ số refine_factor, chỉ những điểm biên đã bỏ phiếu cho ô thô mới bỏ phiếu lại, trả về danh sách (rho, theta)</t>
        </is>
      </c>
      <c r="G16" s="24" t="inlineStr">
        <is>
          <t>Hàm chưa có tham số grad_dir, n_levels, refine_factor (mới chạy cứng 1 bước mịn), đang duyệt lại toàn bộ điểm biên của ảnh và trả về 2 mảng tách rời</t>
        </is>
      </c>
      <c r="H16" s="24" t="inlineStr">
        <is>
          <t>Báo Người 3 bổ sung vòng lặp qua n_levels tầng với refine_factor, truyền được grad_dir, lọc danh sách điểm biên của ứng viên thô và trả về danh sách các cặp (rho, theta).</t>
        </is>
      </c>
      <c r="I16" s="22" t="inlineStr">
        <is>
          <t>OPEN</t>
        </is>
      </c>
    </row>
    <row r="17" ht="54" customHeight="1">
      <c r="A17" s="19" t="inlineStr">
        <is>
          <t>BUG_13</t>
        </is>
      </c>
      <c r="B17" s="20" t="inlineStr">
        <is>
          <t>Kỹ thuật 3: P3_Hough.ipynb - Thiếu thí nghiệm mục 4.7</t>
        </is>
      </c>
      <c r="C17" s="20" t="inlineStr">
        <is>
          <t>Người 3 + Người 5</t>
        </is>
      </c>
      <c r="D17" s="19" t="inlineStr">
        <is>
          <t>Cao (Thiếu thí nghiệm bắt buộc)</t>
        </is>
      </c>
      <c r="E17" s="21" t="inlineStr">
        <is>
          <t>Kiểm tra toàn bộ nội dung file P3_Hough.ipynb</t>
        </is>
      </c>
      <c r="F17" s="21" t="inlineStr">
        <is>
          <t>Phải có đủ 3 mục thí nghiệm 4.7(a), 4.7(b), 4.7(c): (a) Quét &gt;=4 giá trị d_theta và &gt;=4 giá trị d_rho, vẽ mảng tích lũy A và đường phát hiện, quét số tầng n và hệ số r + vẽ sai số góc theo n; (b) So sánh Hough thô, Hough mịn, Hough đa tỉ lệ bằng 3 chỉ số (sai số góc, tỉ số đỉnh/nền, thời gian) + chạy bật/tắt gradient; (c) Ảnh đường 0.5°/179.5° và ảnh có đoạn rất dài + đoạn rất ngắn.</t>
        </is>
      </c>
      <c r="G17" s="21" t="inlineStr">
        <is>
          <t>Notebook P3_Hough.ipynb mới chỉ có 1 ô vẽ ảnh test và in ra 5 đỉnh (trong đó 'đoạn cực ngắn' ở Cell 8 đang vẽ thành hình vuông 5x5 pixel img_lines[100:105, 100:105]=255 nên không phát hiện được, còn đường x=50 cũng bị mất). Thiếu toàn bộ biểu đồ và bảng so sánh của mục 4.7a, 4.7b.</t>
        </is>
      </c>
      <c r="H17" s="21" t="inlineStr">
        <is>
          <t>Sau khi Người 3 sửa xong 3 hàm thuật toán, Người 5 phối hợp cùng Người 3 bổ sung đầy đủ các vòng lặp quét tham số, đồ thị sai số góc theo tầng n, bảng so sánh 3 chỉ số và thí nghiệm bật/tắt gradient vào P3_Hough.ipynb.</t>
        </is>
      </c>
      <c r="I17" s="22" t="inlineStr">
        <is>
          <t>OPEN</t>
        </is>
      </c>
    </row>
  </sheetData>
  <conditionalFormatting sqref="I5:I17">
    <cfRule type="cellIs" priority="1" operator="equal" dxfId="2">
      <formula>"OPEN"</formula>
    </cfRule>
    <cfRule type="cellIs" priority="2" operator="equal" dxfId="0">
      <formula>"RESOLVED"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24" customWidth="1" min="4" max="4"/>
    <col width="28" customWidth="1" min="5" max="5"/>
    <col width="28" customWidth="1" min="6" max="6"/>
    <col width="38" customWidth="1" min="7" max="7"/>
  </cols>
  <sheetData>
    <row r="1">
      <c r="A1" s="1" t="inlineStr">
        <is>
          <t>CHECKLIST RÀ SOÁT QUY ĐỊNH THƯ VIỆN, KHAI BÁO AI &amp; TÍCH HỢP CUỐI</t>
        </is>
      </c>
    </row>
    <row r="2">
      <c r="A2" s="2" t="inlineStr">
        <is>
          <t>Cập nhật trạng thái thực tế của cả 3 kỹ thuật sau khi Người 4 kiểm tra code của Người 1, Người 2 và Người 3</t>
        </is>
      </c>
    </row>
    <row r="4" ht="28" customHeight="1">
      <c r="A4" s="4" t="inlineStr">
        <is>
          <t>Mã mục</t>
        </is>
      </c>
      <c r="B4" s="4" t="inlineStr">
        <is>
          <t>Nhóm kiểm tra</t>
        </is>
      </c>
      <c r="C4" s="4" t="inlineStr">
        <is>
          <t>Nội dung kiểm tra chi tiết (Theo Computer_Vision 40.pdf)</t>
        </is>
      </c>
      <c r="D4" s="4" t="inlineStr">
        <is>
          <t>Phần 1 (CLAHE)</t>
        </is>
      </c>
      <c r="E4" s="4" t="inlineStr">
        <is>
          <t>Phần 2 (Ngưỡng thích nghi)</t>
        </is>
      </c>
      <c r="F4" s="4" t="inlineStr">
        <is>
          <t>Phần 3 (Hough đa tỉ lệ)</t>
        </is>
      </c>
      <c r="G4" s="4" t="inlineStr">
        <is>
          <t>Ghi chú của Người 4</t>
        </is>
      </c>
    </row>
    <row r="5" ht="42" customHeight="1">
      <c r="A5" s="19" t="inlineStr">
        <is>
          <t>QC_01</t>
        </is>
      </c>
      <c r="B5" s="20" t="inlineStr">
        <is>
          <t>Đặc tả hàm</t>
        </is>
      </c>
      <c r="C5" s="21" t="inlineStr">
        <is>
          <t>Đúng tên hàm, thứ tự tham số, giá trị mặc định và kiểu trả về (dtype, shape) theo mục 2.5, 3.5, 4.6</t>
        </is>
      </c>
      <c r="D5" s="19" t="inlineStr">
        <is>
          <t>ĐẠT (3/3 hàm)</t>
        </is>
      </c>
      <c r="E5" s="19" t="inlineStr">
        <is>
          <t>CẦN SỬA NHẸ (Đổi int64 &amp; default method='bradley')</t>
        </is>
      </c>
      <c r="F5" s="19" t="inlineStr">
        <is>
          <t>CHƯA ĐẠT (Sai chữ ký &amp; kiểu trả về cả 3 hàm)</t>
        </is>
      </c>
      <c r="G5" s="21" t="inlineStr">
        <is>
          <t>Xem chi tiết tại BUG_05, BUG_06, BUG_08, BUG_10, BUG_12</t>
        </is>
      </c>
    </row>
    <row r="6" ht="42" customHeight="1">
      <c r="A6" s="22" t="inlineStr">
        <is>
          <t>QC_02</t>
        </is>
      </c>
      <c r="B6" s="23" t="inlineStr">
        <is>
          <t>Thư viện cấm</t>
        </is>
      </c>
      <c r="C6" s="24" t="inlineStr">
        <is>
          <t>Tuyệt đối không gọi hàm cv2/skimage/scipy bị cấm trong phần hàm tự cài đặt</t>
        </is>
      </c>
      <c r="D6" s="22" t="inlineStr">
        <is>
          <t>ĐẠT (Chỉ dùng NumPy)</t>
        </is>
      </c>
      <c r="E6" s="22" t="inlineStr">
        <is>
          <t>ĐẠT (Chỉ dùng NumPy)</t>
        </is>
      </c>
      <c r="F6" s="22" t="inlineStr">
        <is>
          <t>VI PHẠM (Đang dùng scipy.signal.convolve2d)</t>
        </is>
      </c>
      <c r="G6" s="24" t="inlineStr">
        <is>
          <t>Người 3 phải bỏ scipy.signal.convolve2d ngay (BUG_09)</t>
        </is>
      </c>
    </row>
    <row r="7" ht="42" customHeight="1">
      <c r="A7" s="19" t="inlineStr">
        <is>
          <t>QC_03</t>
        </is>
      </c>
      <c r="B7" s="20" t="inlineStr">
        <is>
          <t>Độ chính xác thuật toán</t>
        </is>
      </c>
      <c r="C7" s="21" t="inlineStr">
        <is>
          <t>Xử lý đúng các bẫy thuật toán (bảo toàn tổng hist &amp; nội suy LUT; đệm 0 &amp; kẹp phương sai &gt;=0; quấn góc 0°/180° kèm đổi dấu rho)</t>
        </is>
      </c>
      <c r="D7" s="19" t="inlineStr">
        <is>
          <t>ĐẠT (10/10 test)</t>
        </is>
      </c>
      <c r="E7" s="19" t="inlineStr">
        <is>
          <t>ĐẠT (Khớp brute-force 100%, không NaN)</t>
        </is>
      </c>
      <c r="F7" s="19" t="inlineStr">
        <is>
          <t>CHƯA ĐẠT (Quên đổi dấu rho khi quấn góc 179.5°)</t>
        </is>
      </c>
      <c r="G7" s="21" t="inlineStr">
        <is>
          <t>Người 3 cần sửa lỗi đổi dấu rho ở bước mịn (BUG_11)</t>
        </is>
      </c>
    </row>
    <row r="8" ht="42" customHeight="1">
      <c r="A8" s="22" t="inlineStr">
        <is>
          <t>QC_04</t>
        </is>
      </c>
      <c r="B8" s="23" t="inlineStr">
        <is>
          <t>Quy định AI (Thí nghiệm)</t>
        </is>
      </c>
      <c r="C8" s="24" t="inlineStr">
        <is>
          <t>Mọi ô code thí nghiệm có dùng AI đều có ô Markdown '### Có dùng AI hỗ trợ' ngay phía trên kèm Prompt nguyên văn</t>
        </is>
      </c>
      <c r="D8" s="22" t="inlineStr">
        <is>
          <t>ĐẠT (Sửa typo nhỏ ở Cell 14)</t>
        </is>
      </c>
      <c r="E8" s="22" t="inlineStr">
        <is>
          <t>CHƯA ĐƯA VÀO NOTEBOOK (Mới gửi file .py)</t>
        </is>
      </c>
      <c r="F8" s="22" t="inlineStr">
        <is>
          <t>ĐẠT (Tại Cell 7 của P3_Hough.ipynb)</t>
        </is>
      </c>
      <c r="G8" s="24" t="inlineStr">
        <is>
          <t>Khi đưa code thí nghiệm P2 và P3 vào Notebook nhớ kèm đủ Prompt AI</t>
        </is>
      </c>
    </row>
    <row r="9" ht="42" customHeight="1">
      <c r="A9" s="19" t="inlineStr">
        <is>
          <t>QC_05</t>
        </is>
      </c>
      <c r="B9" s="20" t="inlineStr">
        <is>
          <t>Số lượng tham số quét</t>
        </is>
      </c>
      <c r="C9" s="21" t="inlineStr">
        <is>
          <t>Đủ số lượng tối thiểu: CLAHE (4 clip_limit x 4 grid); Ngưỡng (5 radius x 3 t/k + 7 bán kính đo thời gian); Hough (4 d_theta x 4 d_rho)</t>
        </is>
      </c>
      <c r="D9" s="19" t="inlineStr">
        <is>
          <t>ĐẠT (4 clip x 4 grid)</t>
        </is>
      </c>
      <c r="E9" s="19" t="inlineStr">
        <is>
          <t>CẦN BỔ SUNG (Thêm r=1 vào đồ thị thời gian &amp; ngưỡng thủ công)</t>
        </is>
      </c>
      <c r="F9" s="19" t="inlineStr">
        <is>
          <t>CHƯA ĐẠT (Thiếu toàn bộ quét tham số mục 4.7a, 4.7b)</t>
        </is>
      </c>
      <c r="G9" s="21" t="inlineStr">
        <is>
          <t>Xem chi tiết tại BUG_07 và BUG_13</t>
        </is>
      </c>
    </row>
    <row r="10" ht="42" customHeight="1">
      <c r="A10" s="22" t="inlineStr">
        <is>
          <t>QC_06</t>
        </is>
      </c>
      <c r="B10" s="23" t="inlineStr">
        <is>
          <t>Bộ ảnh thử đặc thù</t>
        </is>
      </c>
      <c r="C10" s="24" t="inlineStr">
        <is>
          <t>Chọn đúng ảnh làm bộc lộ ưu/nhược điểm (ảnh thắng/thua cho CLAHE; ảnh sáng không đều &amp; nền phẳng rộng cho Sauvola; đường 0.5°/179.5° &amp; dài/ngắn cho Hough)</t>
        </is>
      </c>
      <c r="D10" s="22" t="inlineStr">
        <is>
          <t>ĐẠT (Có đủ ảnh thắng &amp; thua)</t>
        </is>
      </c>
      <c r="E10" s="22" t="inlineStr">
        <is>
          <t>ĐẠT 90% (Thêm nét chữ dày để thấy rõ rỗng ruột ở r nhỏ)</t>
        </is>
      </c>
      <c r="F10" s="22" t="inlineStr">
        <is>
          <t>CẦN SỬA (Đoạn ngắn đang vẽ thành ô vuông 5x5)</t>
        </is>
      </c>
      <c r="G10" s="24" t="inlineStr">
        <is>
          <t>Xem chi tiết tại BUG_07 và BUG_13</t>
        </is>
      </c>
    </row>
    <row r="11" ht="42" customHeight="1">
      <c r="A11" s="19" t="inlineStr">
        <is>
          <t>QC_07</t>
        </is>
      </c>
      <c r="B11" s="20" t="inlineStr">
        <is>
          <t>Chạy End-to-End</t>
        </is>
      </c>
      <c r="C11" s="21" t="inlineStr">
        <is>
          <t>Restart Kernel &amp; Run All chạy mượt từ đầu đến cuối, không lỗi thứ tự chạy cell hoặc biến chưa khởi tạo</t>
        </is>
      </c>
      <c r="D11" s="19" t="inlineStr">
        <is>
          <t>ĐẠT (Trên P1_CLAHE.ipynb)</t>
        </is>
      </c>
      <c r="E11" s="19" t="inlineStr">
        <is>
          <t>ĐẠT (Trên integral_threshold.py)</t>
        </is>
      </c>
      <c r="F11" s="19" t="inlineStr">
        <is>
          <t>CẦN SỬA (Chưa có cau_A.py trong src/)</t>
        </is>
      </c>
      <c r="G11" s="21" t="inlineStr">
        <is>
          <t>Sẽ tích hợp chung vào main.ipynb sau khi P2 &amp; P3 sửa xong lỗi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2026-10-16T04:53:01Z</dcterms:created>
  <dcterms:modified xmlns:dcterms="http://purl.org/dc/terms/" xmlns:xsi="http://www.w3.org/2001/XMLSchema-instance" xsi:type="dcterms:W3CDTF">2026-10-16T04:53:01Z</dcterms:modified>
</cp:coreProperties>
</file>