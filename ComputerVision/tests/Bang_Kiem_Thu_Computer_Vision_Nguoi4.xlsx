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 tabRatio="500"/>
  </bookViews>
  <sheets>
    <sheet name="Tong_Quan_Dashboard" sheetId="1" r:id="rId1"/>
    <sheet name="Bang_Kiem_Thu_Chi_Tiet" sheetId="2" r:id="rId2"/>
    <sheet name="Danh_Sach_Loi_Bug_Log" sheetId="3" r:id="rId3"/>
    <sheet name="Checklist_Tich_Hop_AI" sheetId="4" r:id="rId4"/>
  </sheets>
  <definedNames>
    <definedName name="_xlnm._FilterDatabase" localSheetId="1" hidden="1">Bang_Kiem_Thu_Chi_Tiet!$A$4:$I$39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<sst xmlns="http://schemas.openxmlformats.org/spreadsheetml/2006/main" count="560" uniqueCount="438">
  <si>
    <t>BÁO CÁO KIỂM THỬ &amp; TÍCH HỢP HỆ THỐNG — NGƯỜI 4 (CẬP NHẬT 16/10/2026)</t>
  </si>
  <si>
    <t>Học phần: Thị giác máy tính (Mã môn: 121036) | Đánh giá độc lập 10 hàm thuật toán &amp; Notebook thí nghiệm</t>
  </si>
  <si>
    <t>1. THỐNG KÊ KẾT QUẢ KIỂM THỬ THỰC TẾ THEO TỪNG PHẦN</t>
  </si>
  <si>
    <t>2. TÓM TẮT ĐÁNH GIÁ NHANH CHO NGƯỜI 4 (CẬP NHẬT 16/10/2026)</t>
  </si>
  <si>
    <t>Hạng mục (Component)</t>
  </si>
  <si>
    <t>Người phụ trách</t>
  </si>
  <si>
    <t>Tổng số Test Case</t>
  </si>
  <si>
    <t>Đã đạt (PASS)</t>
  </si>
  <si>
    <t>Cần sửa (FAIL)</t>
  </si>
  <si>
    <t>Chờ chạy (PENDING)</t>
  </si>
  <si>
    <t>Tỷ lệ đạt (PASS %)</t>
  </si>
  <si>
    <t>Người 1 (CLAHE):</t>
  </si>
  <si>
    <t>ĐẠT 10/10 PASS. Cả 3 hàm thuật toán và Notebook thí nghiệm đều hoàn chỉnh, đúng đặc tả, không dùng thư viện cấm.</t>
  </si>
  <si>
    <t>CLAHE</t>
  </si>
  <si>
    <t>Người 1</t>
  </si>
  <si>
    <t>Người 2 (Ngưỡng thích nghi):</t>
  </si>
  <si>
    <t>5/7 PASS ở mức hàm (khớp brute-force). Còn: (1) integral_image phải trả int64; (2) mặc định adaptive_threshold phải là method='bradley', k=0.34; (3) thêm r=1 vào đồ thị thời gian và ngưỡng thủ công; (4) notebook Phần 2 chưa chạy ô nào, chưa có khai báo AI (BUG_14).</t>
  </si>
  <si>
    <t>Adaptive Threshold</t>
  </si>
  <si>
    <t>Người 2</t>
  </si>
  <si>
    <t>Người 3 (Hough đa tỉ lệ):</t>
  </si>
  <si>
    <t>0/5 PASS. Còn: (1) dòng 71 vẫn import scipy.signal.convolve2d (bị cấm); (2) sai chữ ký và thứ tự trả về; (3) quên đổi dấu rho khi quấn góc 179.5°; (4) chưa có n_levels, refine_factor; (5) thiếu thí nghiệm 4.7. Đã xử lý: thiếu cau_A.py.</t>
  </si>
  <si>
    <t>Multiscale Hough</t>
  </si>
  <si>
    <t>Người 3</t>
  </si>
  <si>
    <t>Hành động tiếp theo của Người 4:</t>
  </si>
  <si>
    <t>Gửi Bug Log cho Người 2, Người 3 tự sửa (Người 4 không sửa thay). Nhận bản sửa rồi chạy lại đúng test đã fail, sau đó Restart + Run All main.ipynb.</t>
  </si>
  <si>
    <t>Integration &amp; QC</t>
  </si>
  <si>
    <t>Người 4 + Người 5</t>
  </si>
  <si>
    <t>Đã làm ngày 16/10:</t>
  </si>
  <si>
    <t>Chốt tên file trong src/ (BUG_02), thêm cau_A.py + 7 ca kiểm thử convolve2d đều PASS (BUG_03), nối import vào main.ipynb.</t>
  </si>
  <si>
    <t>TỔNG CỘNG TOÀN DỰ ÁN</t>
  </si>
  <si>
    <t>5 Thành viên</t>
  </si>
  <si>
    <t>BẢNG KẾT QUẢ KIỂM THỬ CHI TIẾT 10 HÀM &amp; TÍCH HỢP (TEST RESULTS)</t>
  </si>
  <si>
    <t>Cập nhật 16/10/2026: đã thêm cau_A.py vào src/, chốt tên file, kiểm thử convolve2d. Status chỉ ghi PASS/FAIL cho test đã chạy thật.</t>
  </si>
  <si>
    <t>Test ID</t>
  </si>
  <si>
    <t>Component</t>
  </si>
  <si>
    <t>Function</t>
  </si>
  <si>
    <t>Input/Parameters</t>
  </si>
  <si>
    <t>Expected Result</t>
  </si>
  <si>
    <t>Actual Result</t>
  </si>
  <si>
    <t>Status</t>
  </si>
  <si>
    <t>Evidence</t>
  </si>
  <si>
    <t>Notes</t>
  </si>
  <si>
    <t>TC_P1_01</t>
  </si>
  <si>
    <t>clip_histogram</t>
  </si>
  <si>
    <t>hist ngẫu nhiên (256,) int64 (seed=42, tổng=64196), clip_limit=200</t>
  </si>
  <si>
    <t>Trả về mảng (256,), tổng bảo toàn = 64196, các bin vượt 200 được cắt và phân phối đều phần dư</t>
  </si>
  <si>
    <t>shape=(256,), dtype=int64, sum=64196, max_bin=295 (Bảo toàn tổng 100%)</t>
  </si>
  <si>
    <t>PASS</t>
  </si>
  <si>
    <t>src/P1_CLAHE.py &amp; P1_CLAHE.ipynb (Cell 5)</t>
  </si>
  <si>
    <t>Bảo toàn chính xác tổng histogram (E // L và E % L)</t>
  </si>
  <si>
    <t>TC_P1_02</t>
  </si>
  <si>
    <t>hist ngẫu nhiên (256,), clip_limit=10000 (lớn hơn max(hist))</t>
  </si>
  <si>
    <t>Không có bin nào bị cắt (E=0), mảng trả về giữ nguyên giá trị ban đầu, tổng = 64196</t>
  </si>
  <si>
    <t>array_equal=True, sum=64196</t>
  </si>
  <si>
    <t>Script kiểm thử độc lập Người 4</t>
  </si>
  <si>
    <t>Đúng lý thuyết mục 2.3 (quay về AHE thuần túy khi ngưỡng cắt lớn)</t>
  </si>
  <si>
    <t>TC_P1_03</t>
  </si>
  <si>
    <t>hist ngẫu nhiên (256,), clip_limit=1 (trường hợp biên san phẳng tối đa)</t>
  </si>
  <si>
    <t>Không lỗi, tổng histogram vẫn bảo toàn = 64196, chênh lệch giữa max và min bin tối đa là 1</t>
  </si>
  <si>
    <t>sum=64196, min=250, max=251</t>
  </si>
  <si>
    <t>Xử lý tốt giới hạn dưới limit &lt; 1 và phần dư E mod L</t>
  </si>
  <si>
    <t>TC_P1_04</t>
  </si>
  <si>
    <t>build_tile_luts</t>
  </si>
  <si>
    <t>img ngẫu nhiên (103, 157) uint8, grid=(8, 8), clip_limit=2.0</t>
  </si>
  <si>
    <t>Trả về mảng LUT (8, 8, 256) kiểu uint8, giá trị trong [0, 255], đơn điệu không giảm theo mức xám</t>
  </si>
  <si>
    <t>shape=(8, 8, 256), dtype=uint8, range=[0, 255], monotonic=True</t>
  </si>
  <si>
    <t>Chia ô nguyên (i*H//Gy) xử lý tốt kích thước ảnh lẻ</t>
  </si>
  <si>
    <t>TC_P1_05</t>
  </si>
  <si>
    <t>Ảnh phẳng hoàn toàn (64, 64) uint8 (mọi pixel = 128), grid=(8, 8), clip_limit=2.0</t>
  </si>
  <si>
    <t>Không xảy ra lỗi chia cho 0 khi denom &lt;= 0, trả về LUT hợp lệ (8, 8, 256) uint8</t>
  </si>
  <si>
    <t>shape=(8, 8, 256), dtype=uint8, has_nan=False</t>
  </si>
  <si>
    <t>Có nhánh kiểm tra denom &lt;= 0 trả về LUT tuyến tính</t>
  </si>
  <si>
    <t>TC_P1_06</t>
  </si>
  <si>
    <t>clahe</t>
  </si>
  <si>
    <t>Ảnh kích thước chia hết cho lưới: (256, 256) uint8, grid=(8, 8), clip_limit=2.0</t>
  </si>
  <si>
    <t>Trả về ảnh (256, 256) kiểu uint8, giá trị nằm trong [0, 255]</t>
  </si>
  <si>
    <t>shape=(256, 256), dtype=uint8, min=0, max=255</t>
  </si>
  <si>
    <t>Chạy nhanh (vector hóa nội suy LUT bằng NumPy)</t>
  </si>
  <si>
    <t>TC_P1_07</t>
  </si>
  <si>
    <t>Ảnh kích thước lẻ không chia hết cho lưới: (103, 157) uint8, grid=(8, 8), clip_limit=2.0</t>
  </si>
  <si>
    <t>Trả về ảnh (103, 157) kiểu uint8, không lỗi chỉ số ở biên</t>
  </si>
  <si>
    <t>shape=(103, 157), dtype=uint8, min=0, max=255</t>
  </si>
  <si>
    <t>Kẹp chỉ số tâm ô (np.clip) xử lý mượt 4 góc và 4 cạnh</t>
  </si>
  <si>
    <t>TC_P1_08</t>
  </si>
  <si>
    <t>Ảnh phẳng đồng nhất (64, 64) uint8 (pixel = 128), grid=(8, 8), clip_limit=2.0</t>
  </si>
  <si>
    <t>Trả về ảnh (64, 64) uint8, không có NaN, không khuếch đại nhiễu giả tạo</t>
  </si>
  <si>
    <t>shape=(64, 64), dtype=uint8, unique_vals=[126]</t>
  </si>
  <si>
    <t>Đầu ra đồng nhất, an toàn với vùng hoàn toàn phẳng</t>
  </si>
  <si>
    <t>TC_P1_09</t>
  </si>
  <si>
    <t>Ảnh nhỏ (15, 19) uint8 với các cấu hình lưới biên: grid=(1, 1), (1, 8), (8, 1)</t>
  </si>
  <si>
    <t>Tất cả trả về đúng kích thước (15, 19) uint8, không lỗi chia cho dy hoặc dx bằng 0</t>
  </si>
  <si>
    <t>shapes: g11=(15, 19), g18=(15, 19), g81=(15, 19); dtype=uint8</t>
  </si>
  <si>
    <t>Có xử lý nhánh Gy==1 và Gx==1 đầy đủ</t>
  </si>
  <si>
    <t>TC_P1_10</t>
  </si>
  <si>
    <t>Ảnh dải chuyển sắc mượt (128, 128) uint8, grid=(8, 8), clip_limit=2.0</t>
  </si>
  <si>
    <t>Nội suy trên 4 giá trị LUT lân cận, không xuất hiện đường ranh giới ô vuông (blocking artifact)</t>
  </si>
  <si>
    <t>shape=(128, 128), bước nhảy mức xám ngang lớn nhất giữa 2 pixel kề nhau = 3</t>
  </si>
  <si>
    <t>P1_CLAHE.ipynb (Cell 11, 15) &amp; Test script</t>
  </si>
  <si>
    <t>Đạt yêu cầu mục 2.4: nội suy giá trị bảng tra T_ij[v]</t>
  </si>
  <si>
    <t>TC_P2_01</t>
  </si>
  <si>
    <t>integral_image</t>
  </si>
  <si>
    <t>Ảnh nhỏ 3x3 uint8 đã biết giá trị (np.ones((3,3), dtype=uint8))</t>
  </si>
  <si>
    <t>Trả về mảng S kích thước (4, 4), dtype=int64, hàng 0 và cột 0 toàn số 0, S[3,3] = 9</t>
  </si>
  <si>
    <t>shape=(4, 4), hàng 0 &amp; cột 0 = 0, S[3,3]=9.0, NHƯNG dtype=float64 (yêu cầu đặc tả là int64)</t>
  </si>
  <si>
    <t>FAIL</t>
  </si>
  <si>
    <t>P2_Adaptive_Threshold.py (dòng 19-22)</t>
  </si>
  <si>
    <t>Xem BUG_05: Cần đổi dtype của integral_image sang np.int64 theo mục 3.5 PDF</t>
  </si>
  <si>
    <t>TC_P2_02</t>
  </si>
  <si>
    <t>Ảnh kích thước lớn (2000, 3000) uint8 toàn mức xám 255 (kiểm tra chống tràn số bình phương)</t>
  </si>
  <si>
    <t>Khi tính ảnh tích phân cho I và I^2, tổng lớn nhất (390,150,000,000) không bị tràn số int32</t>
  </si>
  <si>
    <t>S_large_sq[-1,-1] = 390150000000 (chính xác 100%, không bị tràn số int32)</t>
  </si>
  <si>
    <t>P2_Adaptive_Threshold.py &amp; Script test Người 4</t>
  </si>
  <si>
    <t>Không bị tràn số, nhưng lưu ý ép sang np.int64 thay vì float64</t>
  </si>
  <si>
    <t>TC_P2_03</t>
  </si>
  <si>
    <t>box_sum</t>
  </si>
  <si>
    <t>Bảng S của ảnh ngẫu nhiên (50, 60), truy vấn vùng [y1..y2, x1..x2] bất kỳ và vùng sát biên (0,0)</t>
  </si>
  <si>
    <t>Kết quả khớp 100% với np.sum(img[y1:y2+1, x1:x2+1]), hỗ trợ truyền mảng chỉ số vector hóa</t>
  </si>
  <si>
    <t>scalar_match=True (tổng=67942), vec_match=True trên mảng tọa độ</t>
  </si>
  <si>
    <t>P2_Adaptive_Threshold.py (dòng 25-32)</t>
  </si>
  <si>
    <t>Công thức bao hàm-loại trừ O(1) chính xác và vector hóa hoàn toàn</t>
  </si>
  <si>
    <t>TC_P2_04</t>
  </si>
  <si>
    <t>local_mean_std</t>
  </si>
  <si>
    <t>Ảnh phẳng hoàn toàn (100, 100) uint8 (mọi pixel = 200), radius=15</t>
  </si>
  <si>
    <t>mean = 200.0, std = 0.0, kích thước (100, 100) float64, tuyệt đối không xuất hiện NaN</t>
  </si>
  <si>
    <t>shape=(100, 100), dtype=float64, mean=200.0, std=0.0, has_nan=False</t>
  </si>
  <si>
    <t>P2_Adaptive_Threshold.py (dòng 35-55)</t>
  </si>
  <si>
    <t>Đã kẹp np.maximum(var, 0.0) trước khi lấy căn bậc hai</t>
  </si>
  <si>
    <t>TC_P2_05</t>
  </si>
  <si>
    <t>Ảnh ngẫu nhiên (80, 120) uint8, radius=10 (kiểm tra xử lý cửa sổ bị cắt ở sát biên ảnh)</t>
  </si>
  <si>
    <t>Trả về (mean, std) shape (80, 120) float64, khớp 100% với brute-force (atol=1e-9)</t>
  </si>
  <si>
    <t>self_test() PASS tại r=(1,3,7,20), biên (0,0) khớp tuyệt đối với brute-force</t>
  </si>
  <si>
    <t>P2_Adaptive_Threshold.py (self_test dòng 102-119)</t>
  </si>
  <si>
    <t>Chia diện tích thực tế n = (y2-y1+1)*(x2-x1+1) ở biên rất chuẩn</t>
  </si>
  <si>
    <t>TC_P2_06</t>
  </si>
  <si>
    <t>adaptive_threshold</t>
  </si>
  <si>
    <t>Ảnh văn bản chiếu sáng không đều (256, 256) uint8, method='bradley', radius=15, t=0.15</t>
  </si>
  <si>
    <t>Chữ ký hàm mặc định method='bradley', t=0.15, k=0.34; trả về (H, W) uint8 chỉ gồm {0, 255}</t>
  </si>
  <si>
    <t>Đầu ra uint8 gồm {0, 255} đúng quy tắc I &lt; T, NHƯNG tham số mặc định đang để method='sauvola', k=0.3</t>
  </si>
  <si>
    <t>P2_Adaptive_Threshold.py (dòng 58)</t>
  </si>
  <si>
    <t>Xem BUG_06: Cần sửa tham số mặc định thành method='bradley', t=0.15, k=0.34</t>
  </si>
  <si>
    <t>TC_P2_07</t>
  </si>
  <si>
    <t>Ảnh có vùng nền phẳng rộng kèm nhiễu nhẹ (200, 300), method='sauvola', radius=15, k=0.3</t>
  </si>
  <si>
    <t>Trả về ảnh uint8 gồm {0, 255}, vùng nền phẳng sạch nhiễu hơn hẳn Bradley-Roth</t>
  </si>
  <si>
    <t>Số pixel bị gán là chữ: Bradley=13235 (nhiễu nặng), Sauvola=1504 (khớp nét chữ thật ~1500px)</t>
  </si>
  <si>
    <t>P2_Adaptive_Threshold.py (exp4_flat) &amp; k2_04_nen_phang.png</t>
  </si>
  <si>
    <t>Chứng minh rất thuyết phục ưu điểm của Sauvola trên nền phẳng</t>
  </si>
  <si>
    <t>TC_P3_01</t>
  </si>
  <si>
    <t>hough_accumulate</t>
  </si>
  <si>
    <t>Kiểm tra chữ ký hàm, thứ tự trả về (A, thetas, rhos) và đỉnh trên ảnh đường thẳng tổng hợp</t>
  </si>
  <si>
    <t>Đúng chữ ký đặc tả mục 4.6: hough_accumulate(edges, theta_range, rho_range, n_theta, n_rho, grad_dir=None, delta_deg=None) -&gt; trả về (A, thetas, rhos)</t>
  </si>
  <si>
    <t>Chữ ký sai: (edges, delta_deg=1.0, grad_dir=None, grad_delta=10.0) và trả về ngược thứ tự (A, rhos, thetas_deg)</t>
  </si>
  <si>
    <t>P3_Hough_Transform.py (dòng 4-50) &amp; P3_Hough_Transform.ipynb</t>
  </si>
  <si>
    <t>Xem BUG_08: Sai danh sách tham số đầu vào và ngược thứ tự tuple trả về</t>
  </si>
  <si>
    <t>TC_P3_02</t>
  </si>
  <si>
    <t>Ảnh biên tổng hợp kèm hướng gradient grad_dir và dung sai góc</t>
  </si>
  <si>
    <t>Lọc góc trong dải +-delta_deg quanh hướng gradient (mod 180), giảm thời gian và sạch nền A</t>
  </si>
  <si>
    <t>Logic lọc mặt nạ góc tuần hoàn quanh grad_dir hoạt động được, nhưng tên tham số đang đặt là grad_delta thay vì delta_deg</t>
  </si>
  <si>
    <t>P3_Hough_Transform.py (dòng 4, 29-42)</t>
  </si>
  <si>
    <t>Xem BUG_08: Cần đổi tên tham số cho đúng đặc tả và bổ sung thí nghiệm bật/tắt gradient</t>
  </si>
  <si>
    <t>TC_P3_03</t>
  </si>
  <si>
    <t>find_peaks</t>
  </si>
  <si>
    <t>Mảng tích lũy A, n_peaks=5, nms_radius=3, smooth_sigma=1.0</t>
  </si>
  <si>
    <t>Làm mượt A bằng hàm convolve2d tự viết ở Phần A (cấm dùng scipy), trả về danh sách (rho, theta, votes) giảm dần</t>
  </si>
  <si>
    <t>VI PHẠM THƯ VIỆN: Đang gọi scipy.signal.convolve2d (dòng 61-62); chỉ trả về (peak_y, peak_x) thay vì [(rho, theta, votes)]</t>
  </si>
  <si>
    <t>P3_Hough_Transform.py (dòng 60-90) &amp; P3_Hough_Transform.ipynb (Cell 3)</t>
  </si>
  <si>
    <t>Xem BUG_09 &amp; BUG_10: Phải bỏ scipy.signal.convolve2d và sửa kiểu trả về</t>
  </si>
  <si>
    <t>TC_P3_04</t>
  </si>
  <si>
    <t>hough_multiscale</t>
  </si>
  <si>
    <t>Bài test bắt buộc mục 4.3 PDF: Đường thẳng gần thẳng đứng tại theta_0 = 0.5 độ và theta_0 = 179.5 độ (rho = -80)</t>
  </si>
  <si>
    <t>Xử lý quấn vòng góc quanh 0° và 180° kèm ĐỔI DẤU rho (-rho, theta+pi), phát hiện đúng 179.5° và -80</t>
  </si>
  <si>
    <t>Với đường đơn lẻ (rho=-80, theta=179.5°), hàm trả về sai thành (rho=81, theta=0.0°) vì quên đổi dấu rho khi quấn góc % 180</t>
  </si>
  <si>
    <t>P3_Hough_Transform.py (dòng 104-126) &amp; P3_Hough_Transform.ipynb (Cell 9)</t>
  </si>
  <si>
    <t>Xem BUG_11: Bẫy quấn vòng mục 4.3 &amp; 5.1 PDF - mất khả năng tinh chỉnh qua biên 0°/180°</t>
  </si>
  <si>
    <t>TC_P3_05</t>
  </si>
  <si>
    <t>Ảnh chứa đồng thời đoạn thẳng rất dài và đoạn thẳng rất ngắn; khảo sát nhiều tầng n_levels và refine_factor</t>
  </si>
  <si>
    <t>Hỗ trợ n_levels, refine_factor, chỉ lọc điểm biên thuộc ô thô bỏ phiếu lại; phát hiện được cả đoạn dài và đoạn ngắn</t>
  </si>
  <si>
    <t>Hàm mới chỉ chạy cứng 2 mức (coarse/fine), quét lại toàn bộ điểm biên; trong Cell 8 đoạn ngắn vẽ thành ô vuông 5x5 và không phát hiện được</t>
  </si>
  <si>
    <t>P3_Hough_Transform.py (dòng 92-133) &amp; P3_Hough_Transform.ipynb (Cell 8-9)</t>
  </si>
  <si>
    <t>Xem BUG_12 &amp; BUG_13: Cần hỗ trợ n_levels, refine_factor và sửa thí nghiệm đoạn ngắn</t>
  </si>
  <si>
    <t>TC_INT_01</t>
  </si>
  <si>
    <t>P1_CLAHE.ipynb</t>
  </si>
  <si>
    <t>Rà soát quy định thư viện và khai báo Prompt AI trong notebook Phần 1 (CLAHE)</t>
  </si>
  <si>
    <t>Không dùng hàm bị cấm; mọi cell thí nghiệm dùng AI đều có ô Markdown khai báo đúng mẫu</t>
  </si>
  <si>
    <t>Đạt 99% (Chỉ có 1 lỗi gõ nhầm 'Gemini 4 argon' tại Cell 14 cần xóa chữ '4 argon')</t>
  </si>
  <si>
    <t>experiments/P1_CLAHE.ipynb (Cell 7, 10, 14)</t>
  </si>
  <si>
    <t>Phần 1 (CLAHE) đã hoàn thiện đầy đủ cả code lẫn thí nghiệm</t>
  </si>
  <si>
    <t>TC_INT_02</t>
  </si>
  <si>
    <t>P2_Adaptive_Threshold.py (P2)</t>
  </si>
  <si>
    <t>Rà soát thí nghiệm Kỹ thuật 2 (đủ 4 phương pháp so sánh, đủ 7 bán kính thời gian, khai báo AI trong Notebook)</t>
  </si>
  <si>
    <t>So sánh đủ 4 phương pháp (Thủ công, Otsu, Bradley, Sauvola); đo thời gian đủ r={1,2,4,8,16,32,64}; đóng gói vào Notebook</t>
  </si>
  <si>
    <t>Đã có 5 ảnh PNG rất đẹp, nhưng thiếu r=1 ở đồ thị thời gian, thiếu ngưỡng thủ công ở hình so sánh, chưa đưa vào .ipynb kèm Prompt AI</t>
  </si>
  <si>
    <t>P2_Adaptive_Threshold.py &amp; k2_01..k2_05.png</t>
  </si>
  <si>
    <t>Xem BUG_07: Bổ sung r=1, ngưỡng thủ công, nét chữ dày rỗng ruột và đưa vào Notebook</t>
  </si>
  <si>
    <t>TC_INT_03</t>
  </si>
  <si>
    <t>P3_Hough_Transform.ipynb &amp; main.ipynb</t>
  </si>
  <si>
    <t>Rà soát thí nghiệm Kỹ thuật 3 (mục 4.7a, 4.7b, 4.7c) và tích hợp toàn bộ vào main.ipynb</t>
  </si>
  <si>
    <t>Đủ thí nghiệm quét 4x4 (d_theta, d_rho), đồ thị sai số theo tầng n, bảng 3 chỉ số (thô, mịn, đa tỉ lệ), bật/tắt gradient</t>
  </si>
  <si>
    <t>Cập nhật 16/10: cau_A.py đã có trong src/, ô import ở main.ipynb chạy OK. Vẫn FAIL: P3_Hough_Transform.ipynb mới có 1 test nhỏ, thiếu thí nghiệm 4.7a, 4.7b, 4.7c; dòng 71 còn import scipy.</t>
  </si>
  <si>
    <t>P3_Hough_Transform.ipynb &amp; src/</t>
  </si>
  <si>
    <t>Xem BUG_09 &amp; BUG_13: bỏ scipy và hoàn thiện thí nghiệm P3. BUG_03 đã xử lý.</t>
  </si>
  <si>
    <t>TC_INT_04</t>
  </si>
  <si>
    <t>cau_A.py (self-test)</t>
  </si>
  <si>
    <t>Chạy py -3.14 src/cau_A.py trong thư mục ComputerVision/ (Git Bash, Python 3.14)</t>
  </si>
  <si>
    <t>In ra dòng 'cau_A.py self-test: PASS', không AssertionError</t>
  </si>
  <si>
    <t>In ra 'cau_A.py self-test: PASS'</t>
  </si>
  <si>
    <t>Terminal VS Code 16/10/2026 14:14</t>
  </si>
  <si>
    <t>TC_INT_05</t>
  </si>
  <si>
    <t>main.ipynb (ô import)</t>
  </si>
  <si>
    <t>Ô code đầu notebook: sys.path.append('src'); from cau_A import convolve2d. Chạy ô.</t>
  </si>
  <si>
    <t>Chạy không lỗi ModuleNotFoundError, thư mục src/ sinh __pycache__</t>
  </si>
  <si>
    <t>Ô chạy thành công (tick xanh, [3]); src/ có __pycache__</t>
  </si>
  <si>
    <t>Ảnh chụp VS Code 16/10/2026 14:20</t>
  </si>
  <si>
    <t>Cảnh báo vàng Pylance 'Import cau_A could not be resolved' chỉ là cảnh báo tĩnh; có thể tắt bằng python.analysis.extraPaths</t>
  </si>
  <si>
    <t>TC_INT_06</t>
  </si>
  <si>
    <t>src/ (tên file)</t>
  </si>
  <si>
    <t>Liệt kê file trong src/</t>
  </si>
  <si>
    <t>Mỗi kỹ thuật một file duy nhất, không còn bản trùng (Hough.py, integral_threshold.py)</t>
  </si>
  <si>
    <t>src/ gồm cau_A.py, P1_CLAHE.py, P2_Adaptive_Threshold.py, P3_Hough_Transform.py</t>
  </si>
  <si>
    <t>Ảnh chụp Explorer 16/10/2026 14:18</t>
  </si>
  <si>
    <t>Đóng BUG_02</t>
  </si>
  <si>
    <t>TC_A_01</t>
  </si>
  <si>
    <t>convolve2d</t>
  </si>
  <si>
    <t>Xung đơn vị (ảnh 7x7, 1 điểm sáng) với nhân 3x3 = 1..9, mode='same'</t>
  </si>
  <si>
    <t>Vùng quanh điểm sáng là bản sao đúng của nhân</t>
  </si>
  <si>
    <t>array_equal = True</t>
  </si>
  <si>
    <t>Script test_cau_A.py (Người 4), chạy 16/10/2026</t>
  </si>
  <si>
    <t>Đối chiếu bằng test, không đọc lại thuật toán</t>
  </si>
  <si>
    <t>TC_A_02</t>
  </si>
  <si>
    <t>Nhân bất đối xứng chỉ có phần tử [0,0] = 1, xung tại (3,3), mode='same'</t>
  </si>
  <si>
    <t>Là tích chập (có lật nhân): xung dịch về (2,2), không phải (4,4) như tương quan</t>
  </si>
  <si>
    <t>out[2,2]=1, out[4,4]=0, tổng=1</t>
  </si>
  <si>
    <t>Script test_cau_A.py</t>
  </si>
  <si>
    <t>Phân biệt tích chập với tương quan</t>
  </si>
  <si>
    <t>TC_A_03</t>
  </si>
  <si>
    <t>Ảnh (20,31), nhân (3,3),(4,4),(5,3),(1,1), cả 3 mode same/full/valid</t>
  </si>
  <si>
    <t>same=(20,31); full=(H+kh-1, W+kw-1); valid=(H-kh+1, W-kw+1)</t>
  </si>
  <si>
    <t>Cả 12 tổ hợp đúng kích thước</t>
  </si>
  <si>
    <t>Kể cả nhân kích thước chẵn</t>
  </si>
  <si>
    <t>TC_A_04</t>
  </si>
  <si>
    <t>Ảnh ngẫu nhiên (20,31), nhân (5,3) và (4,4), so với scipy.signal.convolve2d (chỉ dùng trong ô đối chiếu của test)</t>
  </si>
  <si>
    <t>Khớp (np.allclose) ở same, full, valid</t>
  </si>
  <si>
    <t>Khớp cả 4 trường hợp</t>
  </si>
  <si>
    <t>scipy chỉ dùng làm đáp án trong script test, không nằm trong src/</t>
  </si>
  <si>
    <t>TC_A_05</t>
  </si>
  <si>
    <t>Mảng tích lũy giả (181,300), nhân Gauss, gọi convolve2d(A, kernel) như find_peaks của P3</t>
  </si>
  <si>
    <t>Kết quả cùng kích thước A, nếu không tọa độ đỉnh Hough bị lệch</t>
  </si>
  <si>
    <t>shape = (181, 300)</t>
  </si>
  <si>
    <t>Điều kiện để find_peaks dùng được hàm này</t>
  </si>
  <si>
    <t>TC_A_06</t>
  </si>
  <si>
    <t>Ảnh phẳng 20x20 (mọi pixel=7), nhân Gauss, boundary='symm' và 'fill'</t>
  </si>
  <si>
    <t>symm: toàn bộ giữ 7.0; fill: góc tối hơn 7.0, giữa vẫn 7.0</t>
  </si>
  <si>
    <t>symm: hằng 7.0; fill: góc &lt; 7.0, giữa = 7.0</t>
  </si>
  <si>
    <t>Kiểm tra xử lý biên</t>
  </si>
  <si>
    <t>TC_A_07</t>
  </si>
  <si>
    <t>Đầu vào không hợp lệ: mảng 1 chiều; mode='x'; nhân lớn hơn ảnh với mode='valid'; ảnh uint8 toàn 255</t>
  </si>
  <si>
    <t>ValueError cho 2 ca đầu; valid cho mảng rỗng; uint8 không tràn, trả float64</t>
  </si>
  <si>
    <t>Đúng cả 4 ca (uint8: giữa = 2295.0, float64)</t>
  </si>
  <si>
    <t>Phù hợp cảnh báo tràn số của mục 3.1</t>
  </si>
  <si>
    <t>NHẬT KÝ GHI NHẬN LỖI &amp; YÊU CẦU CHỈNH SỬA (BUG LOG DÀNH CHO NGƯỜI 4 BÁO LẠI NHÓM)</t>
  </si>
  <si>
    <t>Ghi rõ: Hàm liên quan, dữ liệu thử, kết quả mong đợi, kết quả thực tế, cách tái hiện và trạng thái xử lý</t>
  </si>
  <si>
    <t>Mã lỗi (Bug ID)</t>
  </si>
  <si>
    <t>Phần / Hàm liên quan</t>
  </si>
  <si>
    <t>Người phụ trách sửa</t>
  </si>
  <si>
    <t>Mức độ</t>
  </si>
  <si>
    <t>Dữ liệu thử / Vị trí phát hiện</t>
  </si>
  <si>
    <t>Kết quả mong đợi (Theo PDF)</t>
  </si>
  <si>
    <t>Kết quả thực tế khi chạy</t>
  </si>
  <si>
    <t>Cách tái hiện &amp; Yêu cầu sửa (Không sửa thay code)</t>
  </si>
  <si>
    <t>Trạng thái</t>
  </si>
  <si>
    <t>BUG_01</t>
  </si>
  <si>
    <t>P1_CLAHE.ipynb (Cell 14 - Markdown)</t>
  </si>
  <si>
    <t>Người 1 / Người 5</t>
  </si>
  <si>
    <t>Thấp (Trình bày)</t>
  </si>
  <si>
    <t>Ô Markdown khai báo AI ngay trên Cell 15 (So sánh 4 phương pháp)</t>
  </si>
  <si>
    <t>Ghi đúng tên công cụ: 'Công cụ: Gemini'</t>
  </si>
  <si>
    <t>Đang bị dư chữ lạ do gõ nhầm: 'Công cụ: Gemini  4 argon'</t>
  </si>
  <si>
    <t>Mở experiments/P1_CLAHE.ipynb tại Cell 14, xóa chữ '4 argon' để đồng bộ với Cell 7 và Cell 10.</t>
  </si>
  <si>
    <t>OPEN</t>
  </si>
  <si>
    <t>BUG_02</t>
  </si>
  <si>
    <t>Thư mục src/ (Đặt tên file module)</t>
  </si>
  <si>
    <t>Cả nhóm (Người 1, 2, 3, 4, 5)</t>
  </si>
  <si>
    <t>Trung bình (Tích hợp)</t>
  </si>
  <si>
    <t>Đối chiếu tên file của 3 người: P1_CLAHE.py, integral_threshold.py, Hough.py</t>
  </si>
  <si>
    <t>Thống nhất tên file và cách import trong main.ipynb</t>
  </si>
  <si>
    <t>Cập nhật 16/10: src/ đã gọn, chỉ còn cau_A.py, P1_CLAHE.py, P2_Adaptive_Threshold.py, P3_Hough_Transform.py.</t>
  </si>
  <si>
    <t>Thống nhất quy ước tên file trong src/ trước khi ghép vào main.ipynb để tránh lỗi ImportError.</t>
  </si>
  <si>
    <t>RESOLVED</t>
  </si>
  <si>
    <t>BUG_03</t>
  </si>
  <si>
    <t>Phụ thuộc Phần A (cau_A.py / convolve2d)</t>
  </si>
  <si>
    <t>Người 3 + Cả nhóm</t>
  </si>
  <si>
    <t>Cao (Phụ thuộc bắt buộc)</t>
  </si>
  <si>
    <t>Dòng 2 trong P3_Hough_Transform.py: 'from cau_A import convolve2d'</t>
  </si>
  <si>
    <t>File cau_A.py chứa hàm convolve2d tự viết ở Phần A phải có mặt trong src/</t>
  </si>
  <si>
    <t>Cập nhật 16/10: đã có src/cau_A.py, self-test PASS, main.ipynb import OK.</t>
  </si>
  <si>
    <t>Đã xử lý để re-test được. Trước khi nộp: thay bằng convolve2d do nhóm tự viết ở Phần A (cùng tên file, tên hàm, kết quả cùng kích thước ảnh). Chạy lại python src/cau_A.py và script test_cau_A.py sau khi thay.</t>
  </si>
  <si>
    <t>BUG_04</t>
  </si>
  <si>
    <t>P1_CLAHE.py (Kiểm thử biên tự động)</t>
  </si>
  <si>
    <t>Thấp (Bổ sung test)</t>
  </si>
  <si>
    <t>Khối if __name__ == '__main__': trong src/P1_CLAHE.py</t>
  </si>
  <si>
    <t>Có sẵn assert cho cả ảnh phẳng đồng nhất và grid=(1,1)</t>
  </si>
  <si>
    <t>Hàm chạy PASS 100% với ảnh phẳng và grid=(1,1), chỉ cần dán thêm 2 dòng assert vào Cell 5 cho đầy đủ</t>
  </si>
  <si>
    <t>Bổ sung thêm assert ảnh phẳng (64x64) và ảnh nhỏ grid=(1,1) vào Cell 5 của P1_CLAHE.ipynb.</t>
  </si>
  <si>
    <t>BUG_05</t>
  </si>
  <si>
    <t>Kỹ thuật 2: integral_image(img)</t>
  </si>
  <si>
    <t>Trung bình (Đặc tả kiểu dữ liệu)</t>
  </si>
  <si>
    <t>Gọi integral_image(np.ones((3,3), dtype=np.uint8)).dtype tại dòng 13-22 file P2_Adaptive_Threshold.py</t>
  </si>
  <si>
    <t>Trả về bảng S kích thước (H+1, W+1), kiểu dữ liệu dtype = int64 (theo mục 3.5 trang 8 PDF)</t>
  </si>
  <si>
    <t>Hàm trả về S có kích thước (4, 4) và giá trị đúng, nhưng dtype = float64</t>
  </si>
  <si>
    <t>Báo Người 2 sửa kiểu dữ liệu trong hàm integral_image(img) từ np.float64 sang np.int64 (lưu ý ép kiểu img.astype(np.int64) trước khi nhân img*img ở local_mean_std).</t>
  </si>
  <si>
    <t>BUG_06</t>
  </si>
  <si>
    <t>Kỹ thuật 2: adaptive_threshold(...)</t>
  </si>
  <si>
    <t>Thấp (Đặc tả tham số mặc định)</t>
  </si>
  <si>
    <t>Kiểm tra chữ ký hàm tại dòng 58 file P2_Adaptive_Threshold.py</t>
  </si>
  <si>
    <t>def adaptive_threshold(img, radius=15, method='bradley', t=0.15, k=0.34): (mục 3.5 trang 8 PDF)</t>
  </si>
  <si>
    <t>Đang viết: def adaptive_threshold(img, radius=15, method='sauvola', t=0.15, k=0.3, R=128.0):</t>
  </si>
  <si>
    <t>Báo Người 2 chỉnh lại giá trị mặc định trên dòng def thành method='bradley', t=0.15, k=0.34 để khớp tuyệt đối với đặc tả.</t>
  </si>
  <si>
    <t>BUG_07</t>
  </si>
  <si>
    <t>Kỹ thuật 2: Phần thí nghiệm (exp1, exp2, exp5) &amp; Notebook</t>
  </si>
  <si>
    <t>Người 2 + Người 5</t>
  </si>
  <si>
    <t>Trung bình (Thí nghiệm bắt buộc)</t>
  </si>
  <si>
    <t>Kiểm tra các hàm exp1_global_vs_adaptive, exp2_radius, exp5_timing trong P2_Adaptive_Threshold.py và ảnh k2_01..k2_05.png</t>
  </si>
  <si>
    <t>(1) Mục 3.4: Quét đủ 7 bán kính r in {1, 2, 4, 8, 16, 32, 64} với tích chập trực tiếp O(r^2), tách được O(r), ảnh tích phân O(1); (2) Mục 3.6a: Thể hiện rõ nét chữ dày bị rỗng ruột khi r quá nhỏ; (3) Mục 3.6b: So sánh đủ 4 phương pháp (Thủ công, Otsu, Bradley, Sauvola); (4) Đưa vào Notebook có khai báo AI.</t>
  </si>
  <si>
    <t>(1) exp5_timing mới quét [2, 4, 8, 16, 32, 64] (thiếu r=1); (2) exp1 mới vẽ 3 phương pháp (thiếu ngưỡng cố định thủ công); (3) Nét chữ trong ảnh doc hơi mảnh nên tại r=5 chưa thấy rõ hiện tượng rỗng ruột; (4) Đang để dạng file .py rời, chưa có ô Markdown khai báo Prompt AI.</t>
  </si>
  <si>
    <t>Báo Người 2 &amp; Người 5: Thêm r=1 vào mảng radii; thêm 1 cột Ngưỡng cố định thủ công vào exp1; thêm 1 chữ/hình nét dày vào exp2 để lộ hiện tượng rỗng ruột ở r nhỏ; đóng gói vào Notebook kèm khai báo AI.</t>
  </si>
  <si>
    <t>BUG_08</t>
  </si>
  <si>
    <t>Kỹ thuật 3: hough_accumulate(...)</t>
  </si>
  <si>
    <t>Cao (Sai đặc tả hàm mục 4.6)</t>
  </si>
  <si>
    <t>Kiểm tra chữ ký và giá trị trả về của hough_accumulate tại dòng 4 và dòng 50 file P3_Hough_Transform.py</t>
  </si>
  <si>
    <t>def hough_accumulate(edges, theta_range, rho_range, n_theta, n_rho, grad_dir=None, delta_deg=None): -&gt; Trả về (A, thetas, rhos)</t>
  </si>
  <si>
    <t>Đang viết: def hough_accumulate(edges, delta_deg=1.0, grad_dir=None, grad_delta=10.0): -&gt; Trả về (A, rhos, thetas_deg)</t>
  </si>
  <si>
    <t>Báo Người 3 cập nhật lại tham số hàm nhận được (theta_range, rho_range, n_theta, n_rho, grad_dir=None, delta_deg=None) để hỗ trợ cả bước thô lẫn bước mịn đa tỉ lệ, và đảo thứ tự return thành (A, thetas, rhos).</t>
  </si>
  <si>
    <t>BUG_09</t>
  </si>
  <si>
    <t>Kỹ thuật 3: find_peaks(...) - Vi phạm thư viện</t>
  </si>
  <si>
    <t>Nghiêm trọng (Cấm dùng scipy)</t>
  </si>
  <si>
    <t>Dòng 61-62 trong P3_Hough_Transform.py và dòng 3 Cell 3 trong P3_Hough_Transform.ipynb</t>
  </si>
  <si>
    <t>Chỉ được dùng hàm convolve2d do nhóm tự viết ở Phần A (mục 4.6 trang 11 PDF)</t>
  </si>
  <si>
    <t>Đang import và gọi 'from scipy.signal import convolve2d' để làm mượt mảng tích lũy A</t>
  </si>
  <si>
    <t>Báo Người 3 xóa ngay dòng 'from scipy.signal import convolve2d' và chỉ gọi hàm convolve2d từ Phần A của nhóm. (Re-test sau khi xóa: dòng 71 từng nằm ngay dưới dòng gọi hàm của nhóm nên che mất hàm này.)</t>
  </si>
  <si>
    <t>BUG_10</t>
  </si>
  <si>
    <t>Kỹ thuật 3: find_peaks(...) - Sai kiểu trả về</t>
  </si>
  <si>
    <t>Cao (Sai đặc tả đầu ra)</t>
  </si>
  <si>
    <t>Dòng 89 trong P3_Hough_Transform.py: 'return peak_y, peak_x'</t>
  </si>
  <si>
    <t>Trả về danh sách (rho, theta, votes) sắp xếp theo số phiếu giảm dần (mục 4.6 trang 11 PDF)</t>
  </si>
  <si>
    <t>Hàm chỉ trả về 2 mảng chỉ số (peak_y, peak_x), thiếu giá trị số phiếu (votes) và không lọc bỏ các phần tử bằng 0 khi số đỉnh thực tế &lt; n_peaks</t>
  </si>
  <si>
    <t>Báo Người 3 sửa phần trả về của find_peaks để trả về danh sách các bộ (rho, theta, votes) (hoặc chỉ số kèm votes) theo đúng đặc tả.</t>
  </si>
  <si>
    <t>BUG_11</t>
  </si>
  <si>
    <t>Kỹ thuật 3: hough_multiscale(...) - Lỗi quấn góc 0°/180°</t>
  </si>
  <si>
    <t>Nghiêm trọng (Điểm chấm cứng mục 4.3 &amp; 5.1)</t>
  </si>
  <si>
    <t>Chạy hough_multiscale trên ảnh có 1 đường thẳng tại theta = 179.5°, rho = -80 (dòng 104-126 file P3_Hough_Transform.py)</t>
  </si>
  <si>
    <t>Khi mở cửa sổ tinh chỉnh quanh theta* ~ 0°, phần góc âm quấn về phía 180° PHẢI KÈM THEO ĐỔI DẤU RHO (-rho, theta+pi). Phát hiện đúng theta = 179.5°, rho = -80.</t>
  </si>
  <si>
    <t>Hàm chỉ lấy 't_fine_range = t_fine_range % 180' mà không đổi dấu rho (hoặc không kiểm tra -rho trong r_fine_range [76..86]), khiến mọi phiếu ở 179.5° (có rho = -80) bị loại bỏ. Kết quả đoán sai thành theta = 0.0°, rho = 81. Ngoài ra trong NMS chưa xử lý tuần hoàn biên trái-phải của A nên 1 đường thẳng đứng sinh ra 2 đỉnh trùng lặp.</t>
  </si>
  <si>
    <r>
      <rPr>
        <sz val="10"/>
        <color rgb="FF1E1E1E"/>
        <rFont val="Calibri"/>
        <charset val="1"/>
      </rPr>
      <t>Báo Người 3 đọc kỹ hộp cảnh báo 'Bẫy quấn vòng ở theta=0 và theta=pi' (trang 10 PDF): khi một góc trong cửa sổ lân cận bị âm (&lt; 0) hoặc &gt;= pi và phải quấn vòng (+-180°), thì giá trị rho tương ứng phải đổi dấu trước khi đối chiếu với dải r_fine_range</t>
    </r>
    <r>
      <rPr>
        <sz val="10"/>
        <color rgb="FF1E1E1E"/>
        <rFont val="Noto Sans CJK SC"/>
        <charset val="134"/>
      </rPr>
      <t xml:space="preserve">围绕 </t>
    </r>
    <r>
      <rPr>
        <sz val="10"/>
        <color rgb="FF1E1E1E"/>
        <rFont val="Calibri"/>
        <charset val="1"/>
      </rPr>
      <t>r_c.</t>
    </r>
  </si>
  <si>
    <t>BUG_12</t>
  </si>
  <si>
    <t>Kỹ thuật 3: hough_multiscale(...) - Chữ ký &amp; Đa tầng</t>
  </si>
  <si>
    <t>Cao (Thiếu tham số đa tầng)</t>
  </si>
  <si>
    <t>Dòng 92-133 trong P3_Hough_Transform.py: def hough_multiscale(edges, n_peaks, coarse_delta=2.0, fine_delta=0.1)</t>
  </si>
  <si>
    <t>def hough_multiscale(edges, grad_dir, n_levels=2, refine_factor=8, ...): Lặp qua n_levels tầng tinh chỉnh với hệ số refine_factor, chỉ những điểm biên đã bỏ phiếu cho ô thô mới bỏ phiếu lại, trả về danh sách (rho, theta)</t>
  </si>
  <si>
    <t>Hàm chưa có tham số grad_dir, n_levels, refine_factor (mới chạy cứng 1 bước mịn), đang duyệt lại toàn bộ điểm biên của ảnh và trả về 2 mảng tách rời</t>
  </si>
  <si>
    <t>Báo Người 3 bổ sung vòng lặp qua n_levels tầng với refine_factor, truyền được grad_dir, lọc danh sách điểm biên của ứng viên thô và trả về danh sách các cặp (rho, theta).</t>
  </si>
  <si>
    <t>BUG_13</t>
  </si>
  <si>
    <t>Kỹ thuật 3: P3_Hough_Transform.ipynb - Thiếu thí nghiệm mục 4.7</t>
  </si>
  <si>
    <t>Người 3 + Người 5</t>
  </si>
  <si>
    <t>Cao (Thiếu thí nghiệm bắt buộc)</t>
  </si>
  <si>
    <t>Kiểm tra toàn bộ nội dung file P3_Hough_Transform.ipynb</t>
  </si>
  <si>
    <t>Phải có đủ 3 mục thí nghiệm 4.7(a), 4.7(b), 4.7(c): (a) Quét &gt;=4 giá trị d_theta và &gt;=4 giá trị d_rho, vẽ mảng tích lũy A và đường phát hiện, quét số tầng n và hệ số r + vẽ sai số góc theo n; (b) So sánh Hough thô, Hough mịn, Hough đa tỉ lệ bằng 3 chỉ số (sai số góc, tỉ số đỉnh/nền, thời gian) + chạy bật/tắt gradient; (c) Ảnh đường 0.5°/179.5° và ảnh có đoạn rất dài + đoạn rất ngắn.</t>
  </si>
  <si>
    <t>Notebook P3_Hough_Transform.ipynb mới chỉ có 1 ô vẽ ảnh test và in ra 5 đỉnh (trong đó 'đoạn cực ngắn' ở Cell 8 đang vẽ thành hình vuông 5x5 pixel img_lines[100:105, 100:105]=255 nên không phát hiện được, còn đường x=50 cũng bị mất). Thiếu toàn bộ biểu đồ và bảng so sánh của mục 4.7a, 4.7b.</t>
  </si>
  <si>
    <t>Sau khi Người 3 sửa xong 3 hàm thuật toán, Người 5 phối hợp cùng Người 3 bổ sung đầy đủ các vòng lặp quét tham số, đồ thị sai số góc theo tầng n, bảng so sánh 3 chỉ số và thí nghiệm bật/tắt gradient vào P3_Hough_Transform.ipynb.</t>
  </si>
  <si>
    <t>BUG_14</t>
  </si>
  <si>
    <t>Kỹ thuật 2: P2_Adaptive_Threshold.ipynb &amp; Phần 2 của main.ipynb</t>
  </si>
  <si>
    <t>Trung bình (Notebook/Quy định AI)</t>
  </si>
  <si>
    <t>Mở experiments/P2_Adaptive_Threshold.ipynb và Phần 2 trong main.ipynb</t>
  </si>
  <si>
    <t>Các ô đã chạy, có output (hình, bảng), notebook chạy từ đầu đến cuối; ô dùng AI có khai báo prompt trước ô code</t>
  </si>
  <si>
    <t>Mọi ô code của Phần 2 chưa chạy (không có số thứ tự, không có output). Không có ô markdown 'Có dùng AI hỗ trợ' nào</t>
  </si>
  <si>
    <t>Người 2 chạy lại toàn bộ Phần 2 và lưu output. Nếu có dùng AI cho phần ảnh thử/thí nghiệm thì khai báo đúng mẫu (mục 5.1), nếu không thì thôi. Người 4 re-test sau.</t>
  </si>
  <si>
    <t>BUG_15</t>
  </si>
  <si>
    <t>Repo: .gitignore</t>
  </si>
  <si>
    <t>Người 4</t>
  </si>
  <si>
    <t>Thấp (Vệ sinh repo)</t>
  </si>
  <si>
    <t>Thư mục src/ có __pycache__/, thư mục tests/ có ~$Bang_Kiem_Thu_...xlsx (file khóa tạm của Excel)</t>
  </si>
  <si>
    <t>Hai thứ này không được commit</t>
  </si>
  <si>
    <t>Đang hiện trong danh sách thay đổi (Source Control)</t>
  </si>
  <si>
    <t>Thêm __pycache__/ và ~$* vào .gitignore, đóng Excel trước khi commit.</t>
  </si>
  <si>
    <t>CHECKLIST RÀ SOÁT QUY ĐỊNH THƯ VIỆN, KHAI BÁO AI &amp; TÍCH HỢP CUỐI</t>
  </si>
  <si>
    <t>Cập nhật trạng thái thực tế của cả 3 kỹ thuật sau khi Người 4 kiểm tra code của Người 1, Người 2 và Người 3</t>
  </si>
  <si>
    <t>Mã mục</t>
  </si>
  <si>
    <t>Nhóm kiểm tra</t>
  </si>
  <si>
    <t>Nội dung kiểm tra chi tiết (Theo Computer_Vision 40.pdf)</t>
  </si>
  <si>
    <t>Phần 1 (CLAHE)</t>
  </si>
  <si>
    <t>Phần 2 (Ngưỡng thích nghi)</t>
  </si>
  <si>
    <t>Phần 3 (Hough đa tỉ lệ)</t>
  </si>
  <si>
    <t>Ghi chú của Người 4</t>
  </si>
  <si>
    <t>QC_01</t>
  </si>
  <si>
    <t>Đặc tả hàm</t>
  </si>
  <si>
    <t>Đúng tên hàm, thứ tự tham số, giá trị mặc định và kiểu trả về (dtype, shape) theo mục 2.5, 3.5, 4.6</t>
  </si>
  <si>
    <t>ĐẠT (3/3 hàm)</t>
  </si>
  <si>
    <t>CẦN SỬA NHẸ (Đổi int64 &amp; default method='bradley')</t>
  </si>
  <si>
    <t>CHƯA ĐẠT (Sai chữ ký &amp; kiểu trả về cả 3 hàm)</t>
  </si>
  <si>
    <t>Xem chi tiết tại BUG_05, BUG_06, BUG_08, BUG_10, BUG_12</t>
  </si>
  <si>
    <t>QC_02</t>
  </si>
  <si>
    <t>Thư viện cấm</t>
  </si>
  <si>
    <t>Tuyệt đối không gọi hàm cv2/skimage/scipy bị cấm trong phần hàm tự cài đặt</t>
  </si>
  <si>
    <t>ĐẠT (Chỉ dùng NumPy)</t>
  </si>
  <si>
    <t>VI PHẠM (Đang dùng scipy.signal.convolve2d)</t>
  </si>
  <si>
    <t>Người 3 phải bỏ scipy.signal.convolve2d ngay (BUG_09)</t>
  </si>
  <si>
    <t>QC_03</t>
  </si>
  <si>
    <t>Độ chính xác thuật toán</t>
  </si>
  <si>
    <t>Xử lý đúng các bẫy thuật toán (bảo toàn tổng hist &amp; nội suy LUT; đệm 0 &amp; kẹp phương sai &gt;=0; quấn góc 0°/180° kèm đổi dấu rho)</t>
  </si>
  <si>
    <t>ĐẠT (10/10 test)</t>
  </si>
  <si>
    <t>ĐẠT (Khớp brute-force 100%, không NaN)</t>
  </si>
  <si>
    <t>CHƯA ĐẠT (Quên đổi dấu rho khi quấn góc 179.5°)</t>
  </si>
  <si>
    <t>Người 3 cần sửa lỗi đổi dấu rho ở bước mịn (BUG_11)</t>
  </si>
  <si>
    <t>QC_04</t>
  </si>
  <si>
    <t>Quy định AI (Thí nghiệm)</t>
  </si>
  <si>
    <t>Mọi ô code thí nghiệm có dùng AI đều có ô Markdown '### Có dùng AI hỗ trợ' ngay phía trên kèm Prompt nguyên văn</t>
  </si>
  <si>
    <t>ĐẠT (Sửa typo nhỏ ở Cell 14)</t>
  </si>
  <si>
    <t>CHƯA ĐẠT (Notebook P2 chưa chạy, chưa có khai báo AI; xem BUG_14)</t>
  </si>
  <si>
    <t>ĐẠT (Tại Cell 7 của P3_Hough_Transform.ipynb)</t>
  </si>
  <si>
    <t>Khi đưa code thí nghiệm P2 và P3 vào Notebook nhớ kèm đủ Prompt AI</t>
  </si>
  <si>
    <t>QC_05</t>
  </si>
  <si>
    <t>Số lượng tham số quét</t>
  </si>
  <si>
    <t>Đủ số lượng tối thiểu: CLAHE (4 clip_limit x 4 grid); Ngưỡng (5 radius x 3 t/k + 7 bán kính đo thời gian); Hough (4 d_theta x 4 d_rho)</t>
  </si>
  <si>
    <t>ĐẠT (4 clip x 4 grid)</t>
  </si>
  <si>
    <t>CẦN BỔ SUNG (Thêm r=1 vào đồ thị thời gian &amp; ngưỡng thủ công)</t>
  </si>
  <si>
    <t>CHƯA ĐẠT (Thiếu toàn bộ quét tham số mục 4.7a, 4.7b)</t>
  </si>
  <si>
    <t>Xem chi tiết tại BUG_07 và BUG_13</t>
  </si>
  <si>
    <t>QC_06</t>
  </si>
  <si>
    <t>Bộ ảnh thử đặc thù</t>
  </si>
  <si>
    <t>Chọn đúng ảnh làm bộc lộ ưu/nhược điểm (ảnh thắng/thua cho CLAHE; ảnh sáng không đều &amp; nền phẳng rộng cho Sauvola; đường 0.5°/179.5° &amp; dài/ngắn cho Hough)</t>
  </si>
  <si>
    <t>ĐẠT (Có đủ ảnh thắng &amp; thua)</t>
  </si>
  <si>
    <t>ĐẠT 90% (Thêm nét chữ dày để thấy rõ rỗng ruột ở r nhỏ)</t>
  </si>
  <si>
    <t>CẦN SỬA (Đoạn ngắn đang vẽ thành ô vuông 5x5)</t>
  </si>
  <si>
    <t>QC_07</t>
  </si>
  <si>
    <t>Chạy End-to-End</t>
  </si>
  <si>
    <t>Restart Kernel &amp; Run All chạy mượt từ đầu đến cuối, không lỗi thứ tự chạy cell hoặc biến chưa khởi tạo</t>
  </si>
  <si>
    <t>ĐẠT (Trên P1_CLAHE.ipynb)</t>
  </si>
  <si>
    <t>CHƯA ĐẠT (Các ô Phần 2 chưa chạy trong notebook; xem BUG_14)</t>
  </si>
  <si>
    <t>CẦN SỬA (cau_A.py đã có, main.ipynb import OK; còn dòng import scipy và thiếu thí nghiệm 4.7)</t>
  </si>
  <si>
    <t>Chưa Restart + Run All được toàn bộ main.ipynb. Làm lại khi P2, P3 nộp bản sửa.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</si>
</sst>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</numFmts>
  <fonts count="29">
    <font>
      <sz val="11"/>
      <color theme="1"/>
      <name val="Calibri"/>
      <charset val="1"/>
    </font>
    <font>
      <b/>
      <sz val="15"/>
      <color rgb="FF1F3864"/>
      <name val="Calibri"/>
      <charset val="1"/>
    </font>
    <font>
      <i/>
      <sz val="10"/>
      <color rgb="FF595959"/>
      <name val="Calibri"/>
      <charset val="1"/>
    </font>
    <font>
      <b/>
      <sz val="11"/>
      <color rgb="FFFFFFFF"/>
      <name val="Calibri"/>
      <charset val="1"/>
    </font>
    <font>
      <b/>
      <sz val="10"/>
      <color rgb="FF1E1E1E"/>
      <name val="Calibri"/>
      <charset val="1"/>
    </font>
    <font>
      <sz val="10"/>
      <color rgb="FF1E1E1E"/>
      <name val="Calibri"/>
      <charset val="1"/>
    </font>
    <font>
      <b/>
      <sz val="11"/>
      <color rgb="FF1F3864"/>
      <name val="Calibri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1E1E1E"/>
      <name val="Noto Sans CJK SC"/>
      <charset val="134"/>
    </font>
  </fonts>
  <fills count="3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4F8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FFFFFF"/>
        <bgColor rgb="FFF2F4F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double">
        <color rgb="FF1F38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0" xfId="0" applyFont="1"/>
    <xf numFmtId="0" fontId="4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4" fillId="3" borderId="1" xfId="0" applyFont="1" applyFill="1" applyBorder="1"/>
    <xf numFmtId="0" fontId="5" fillId="3" borderId="1" xfId="0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0" fontId="4" fillId="4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0"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78787"/>
      <rgbColor rgb="009999FF"/>
      <rgbColor rgb="00C0504D"/>
      <rgbColor rgb="00FFF2CC"/>
      <rgbColor rgb="00F2F4F8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E1F2"/>
      <rgbColor rgb="00E2EFDA"/>
      <rgbColor rgb="00FFFF99"/>
      <rgbColor rgb="0099CCFF"/>
      <rgbColor rgb="00FF99CC"/>
      <rgbColor rgb="00CC99FF"/>
      <rgbColor rgb="00FCE4D6"/>
      <rgbColor rgb="004F81BD"/>
      <rgbColor rgb="0033CCCC"/>
      <rgbColor rgb="009BBB59"/>
      <rgbColor rgb="00FFCC00"/>
      <rgbColor rgb="00FF9900"/>
      <rgbColor rgb="00FF6600"/>
      <rgbColor rgb="0059595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1E1E1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Kết quả Kiểm thử Thực tế theo từng Kỹ thuật (PASS vs FAIL)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Tong_Quan_Dashboard!$D$5</c:f>
              <c:strCache>
                <c:ptCount val="1"/>
                <c:pt idx="0">
                  <c:v>Đã đạt (PASS)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Tong_Quan_Dashboard!$A$6:$A$9</c:f>
              <c:strCache>
                <c:ptCount val="4"/>
                <c:pt idx="0">
                  <c:v>CLAHE</c:v>
                </c:pt>
                <c:pt idx="1">
                  <c:v>Adaptive Threshold</c:v>
                </c:pt>
                <c:pt idx="2">
                  <c:v>Multiscale Hough</c:v>
                </c:pt>
                <c:pt idx="3">
                  <c:v>Integration &amp; QC</c:v>
                </c:pt>
              </c:strCache>
            </c:strRef>
          </c:cat>
          <c:val>
            <c:numRef>
              <c:f>Tong_Quan_Dashboard!$D$6:$D$9</c:f>
              <c:numCache>
                <c:formatCode>#,##0</c:formatCode>
                <c:ptCount val="4"/>
                <c:pt idx="0">
                  <c:v>10</c:v>
                </c:pt>
                <c:pt idx="1">
                  <c:v>5</c:v>
                </c:pt>
                <c:pt idx="2">
                  <c:v>0</c:v>
                </c:pt>
                <c:pt idx="3">
                  <c:v>11</c:v>
                </c:pt>
              </c:numCache>
            </c:numRef>
          </c:val>
        </c:ser>
        <c:ser>
          <c:idx val="1"/>
          <c:order val="1"/>
          <c:tx>
            <c:strRef>
              <c:f>Tong_Quan_Dashboard!$E$5</c:f>
              <c:strCache>
                <c:ptCount val="1"/>
                <c:pt idx="0">
                  <c:v>Cần sửa (FAIL)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Tong_Quan_Dashboard!$A$6:$A$9</c:f>
              <c:strCache>
                <c:ptCount val="4"/>
                <c:pt idx="0">
                  <c:v>CLAHE</c:v>
                </c:pt>
                <c:pt idx="1">
                  <c:v>Adaptive Threshold</c:v>
                </c:pt>
                <c:pt idx="2">
                  <c:v>Multiscale Hough</c:v>
                </c:pt>
                <c:pt idx="3">
                  <c:v>Integration &amp; QC</c:v>
                </c:pt>
              </c:strCache>
            </c:strRef>
          </c:cat>
          <c:val>
            <c:numRef>
              <c:f>Tong_Quan_Dashboard!$E$6:$E$9</c:f>
              <c:numCache>
                <c:formatCode>#,##0</c:formatCode>
                <c:ptCount val="4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</c:ser>
        <c:ser>
          <c:idx val="2"/>
          <c:order val="2"/>
          <c:tx>
            <c:strRef>
              <c:f>Tong_Quan_Dashboard!$F$5</c:f>
              <c:strCache>
                <c:ptCount val="1"/>
                <c:pt idx="0">
                  <c:v>Chờ chạy (PENDING)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Tong_Quan_Dashboard!$A$6:$A$9</c:f>
              <c:strCache>
                <c:ptCount val="4"/>
                <c:pt idx="0">
                  <c:v>CLAHE</c:v>
                </c:pt>
                <c:pt idx="1">
                  <c:v>Adaptive Threshold</c:v>
                </c:pt>
                <c:pt idx="2">
                  <c:v>Multiscale Hough</c:v>
                </c:pt>
                <c:pt idx="3">
                  <c:v>Integration &amp; QC</c:v>
                </c:pt>
              </c:strCache>
            </c:strRef>
          </c:cat>
          <c:val>
            <c:numRef>
              <c:f>Tong_Quan_Dashboard!$F$6:$F$9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100"/>
        <c:axId val="14407745"/>
        <c:axId val="4925113"/>
      </c:barChart>
      <c:catAx>
        <c:axId val="1440774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Hạng mục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925113"/>
        <c:crosses val="autoZero"/>
        <c:auto val="1"/>
        <c:lblAlgn val="ctr"/>
        <c:lblOffset val="100"/>
        <c:noMultiLvlLbl val="0"/>
      </c:catAx>
      <c:valAx>
        <c:axId val="4925113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Số lượng Test Case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4407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f9e8d80-ab2e-40d1-a79e-7634a1929a9a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10</xdr:row>
      <xdr:rowOff>145440</xdr:rowOff>
    </xdr:from>
    <xdr:to>
      <xdr:col>4</xdr:col>
      <xdr:colOff>402840</xdr:colOff>
      <xdr:row>29</xdr:row>
      <xdr:rowOff>125280</xdr:rowOff>
    </xdr:to>
    <xdr:graphicFrame>
      <xdr:nvGraphicFramePr>
        <xdr:cNvPr id="2" name="Chart 1"/>
        <xdr:cNvGraphicFramePr/>
      </xdr:nvGraphicFramePr>
      <xdr:xfrm>
        <a:off x="0" y="3804920"/>
        <a:ext cx="5614670" cy="3463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topLeftCell="C6" workbookViewId="0">
      <selection activeCell="I15" sqref="I15"/>
    </sheetView>
  </sheetViews>
  <sheetFormatPr defaultColWidth="8.67592592592593" defaultRowHeight="14.4"/>
  <cols>
    <col min="1" max="1" width="24" customWidth="1"/>
    <col min="2" max="3" width="18" customWidth="1"/>
    <col min="4" max="5" width="16" customWidth="1"/>
    <col min="6" max="6" width="20" customWidth="1"/>
    <col min="7" max="7" width="18" customWidth="1"/>
    <col min="8" max="8" width="4" customWidth="1"/>
    <col min="9" max="9" width="28" customWidth="1"/>
    <col min="10" max="10" width="62" customWidth="1"/>
  </cols>
  <sheetData>
    <row r="1" ht="19.8" spans="1:10">
      <c r="A1" s="1" t="s">
        <v>0</v>
      </c>
    </row>
    <row r="2" spans="1:10">
      <c r="A2" s="2" t="s">
        <v>1</v>
      </c>
    </row>
    <row r="4" spans="1:10">
      <c r="A4" s="10" t="s">
        <v>2</v>
      </c>
      <c r="I4" s="10" t="s">
        <v>3</v>
      </c>
    </row>
    <row r="5" ht="42" customHeight="1" spans="1:10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I5" s="11" t="s">
        <v>11</v>
      </c>
      <c r="J5" s="12" t="s">
        <v>12</v>
      </c>
    </row>
    <row r="6" ht="42" customHeight="1" spans="1:10">
      <c r="A6" s="13" t="s">
        <v>13</v>
      </c>
      <c r="B6" s="14" t="s">
        <v>14</v>
      </c>
      <c r="C6" s="15">
        <f>COUNTIF(Bang_Kiem_Thu_Chi_Tiet!$B$5:$B$39,A6)</f>
        <v>10</v>
      </c>
      <c r="D6" s="15">
        <f>COUNTIFS(Bang_Kiem_Thu_Chi_Tiet!$B$5:$B$39,A6,Bang_Kiem_Thu_Chi_Tiet!$G$5:$G$39,"PASS")</f>
        <v>10</v>
      </c>
      <c r="E6" s="15">
        <f>COUNTIFS(Bang_Kiem_Thu_Chi_Tiet!$B$5:$B$39,A6,Bang_Kiem_Thu_Chi_Tiet!$G$5:$G$39,"FAIL")</f>
        <v>0</v>
      </c>
      <c r="F6" s="15">
        <f>COUNTIFS(Bang_Kiem_Thu_Chi_Tiet!$B$5:$B$39,A6,Bang_Kiem_Thu_Chi_Tiet!$G$5:$G$39,"PENDING")</f>
        <v>0</v>
      </c>
      <c r="G6" s="16">
        <f>IF(C6&gt;0,D6/C6,0)</f>
        <v>1</v>
      </c>
      <c r="I6" s="11" t="s">
        <v>15</v>
      </c>
      <c r="J6" s="12" t="s">
        <v>16</v>
      </c>
    </row>
    <row r="7" ht="42" customHeight="1" spans="1:10">
      <c r="A7" s="17" t="s">
        <v>17</v>
      </c>
      <c r="B7" s="18" t="s">
        <v>18</v>
      </c>
      <c r="C7" s="19">
        <f>COUNTIF(Bang_Kiem_Thu_Chi_Tiet!$B$5:$B$39,A7)</f>
        <v>7</v>
      </c>
      <c r="D7" s="19">
        <f>COUNTIFS(Bang_Kiem_Thu_Chi_Tiet!$B$5:$B$39,A7,Bang_Kiem_Thu_Chi_Tiet!$G$5:$G$39,"PASS")</f>
        <v>5</v>
      </c>
      <c r="E7" s="19">
        <f>COUNTIFS(Bang_Kiem_Thu_Chi_Tiet!$B$5:$B$39,A7,Bang_Kiem_Thu_Chi_Tiet!$G$5:$G$39,"FAIL")</f>
        <v>2</v>
      </c>
      <c r="F7" s="19">
        <f>COUNTIFS(Bang_Kiem_Thu_Chi_Tiet!$B$5:$B$39,A7,Bang_Kiem_Thu_Chi_Tiet!$G$5:$G$39,"PENDING")</f>
        <v>0</v>
      </c>
      <c r="G7" s="20">
        <f>IF(C7&gt;0,D7/C7,0)</f>
        <v>0.714285714285714</v>
      </c>
      <c r="I7" s="11" t="s">
        <v>19</v>
      </c>
      <c r="J7" s="12" t="s">
        <v>20</v>
      </c>
    </row>
    <row r="8" ht="42" customHeight="1" spans="1:10">
      <c r="A8" s="13" t="s">
        <v>21</v>
      </c>
      <c r="B8" s="14" t="s">
        <v>22</v>
      </c>
      <c r="C8" s="15">
        <f>COUNTIF(Bang_Kiem_Thu_Chi_Tiet!$B$5:$B$39,A8)</f>
        <v>5</v>
      </c>
      <c r="D8" s="15">
        <f>COUNTIFS(Bang_Kiem_Thu_Chi_Tiet!$B$5:$B$39,A8,Bang_Kiem_Thu_Chi_Tiet!$G$5:$G$39,"PASS")</f>
        <v>0</v>
      </c>
      <c r="E8" s="15">
        <f>COUNTIFS(Bang_Kiem_Thu_Chi_Tiet!$B$5:$B$39,A8,Bang_Kiem_Thu_Chi_Tiet!$G$5:$G$39,"FAIL")</f>
        <v>5</v>
      </c>
      <c r="F8" s="15">
        <f>COUNTIFS(Bang_Kiem_Thu_Chi_Tiet!$B$5:$B$39,A8,Bang_Kiem_Thu_Chi_Tiet!$G$5:$G$39,"PENDING")</f>
        <v>0</v>
      </c>
      <c r="G8" s="16">
        <f>IF(C8&gt;0,D8/C8,0)</f>
        <v>0</v>
      </c>
      <c r="I8" s="11" t="s">
        <v>23</v>
      </c>
      <c r="J8" s="12" t="s">
        <v>24</v>
      </c>
    </row>
    <row r="9" ht="42" customHeight="1" spans="1:10">
      <c r="A9" s="17" t="s">
        <v>25</v>
      </c>
      <c r="B9" s="18" t="s">
        <v>26</v>
      </c>
      <c r="C9" s="19">
        <f>COUNTIF(Bang_Kiem_Thu_Chi_Tiet!$B$5:$B$39,A9)</f>
        <v>13</v>
      </c>
      <c r="D9" s="19">
        <f>COUNTIFS(Bang_Kiem_Thu_Chi_Tiet!$B$5:$B$39,A9,Bang_Kiem_Thu_Chi_Tiet!$G$5:$G$39,"PASS")</f>
        <v>11</v>
      </c>
      <c r="E9" s="19">
        <f>COUNTIFS(Bang_Kiem_Thu_Chi_Tiet!$B$5:$B$39,A9,Bang_Kiem_Thu_Chi_Tiet!$G$5:$G$39,"FAIL")</f>
        <v>2</v>
      </c>
      <c r="F9" s="19">
        <f>COUNTIFS(Bang_Kiem_Thu_Chi_Tiet!$B$5:$B$39,A9,Bang_Kiem_Thu_Chi_Tiet!$G$5:$G$39,"PENDING")</f>
        <v>0</v>
      </c>
      <c r="G9" s="20">
        <f>IF(C9&gt;0,D9/C9,0)</f>
        <v>0.846153846153846</v>
      </c>
      <c r="I9" s="11" t="s">
        <v>27</v>
      </c>
      <c r="J9" s="12" t="s">
        <v>28</v>
      </c>
    </row>
    <row r="10" ht="15.15" spans="1:10">
      <c r="A10" s="21" t="s">
        <v>29</v>
      </c>
      <c r="B10" s="22" t="s">
        <v>30</v>
      </c>
      <c r="C10" s="23">
        <f>SUM(C6:C9)</f>
        <v>35</v>
      </c>
      <c r="D10" s="23">
        <f>SUM(D6:D9)</f>
        <v>26</v>
      </c>
      <c r="E10" s="23">
        <f>SUM(E6:E9)</f>
        <v>9</v>
      </c>
      <c r="F10" s="23">
        <f>SUM(F6:F9)</f>
        <v>0</v>
      </c>
      <c r="G10" s="24">
        <f>IF(C10&gt;0,D10/C10,0)</f>
        <v>0.742857142857143</v>
      </c>
    </row>
    <row r="11" ht="15.15"/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opLeftCell="E1" workbookViewId="0">
      <pane ySplit="4" topLeftCell="A24" activePane="bottomLeft" state="frozen"/>
      <selection/>
      <selection pane="bottomLeft" activeCell="F27" sqref="F27"/>
    </sheetView>
  </sheetViews>
  <sheetFormatPr defaultColWidth="8.67592592592593" defaultRowHeight="14.4"/>
  <cols>
    <col min="1" max="1" width="12" customWidth="1"/>
    <col min="2" max="3" width="20" customWidth="1"/>
    <col min="4" max="4" width="38" customWidth="1"/>
    <col min="5" max="6" width="42" customWidth="1"/>
    <col min="7" max="7" width="14" customWidth="1"/>
    <col min="8" max="8" width="28" customWidth="1"/>
    <col min="9" max="9" width="36" customWidth="1"/>
  </cols>
  <sheetData>
    <row r="1" ht="19.8" spans="1:9">
      <c r="A1" s="1" t="s">
        <v>31</v>
      </c>
    </row>
    <row r="2" spans="1:9">
      <c r="A2" s="2" t="s">
        <v>32</v>
      </c>
    </row>
    <row r="4" ht="27.75" customHeight="1" spans="1:9">
      <c r="A4" s="3" t="s">
        <v>33</v>
      </c>
      <c r="B4" s="3" t="s">
        <v>34</v>
      </c>
      <c r="C4" s="3" t="s">
        <v>35</v>
      </c>
      <c r="D4" s="3" t="s">
        <v>36</v>
      </c>
      <c r="E4" s="3" t="s">
        <v>37</v>
      </c>
      <c r="F4" s="3" t="s">
        <v>38</v>
      </c>
      <c r="G4" s="3" t="s">
        <v>39</v>
      </c>
      <c r="H4" s="3" t="s">
        <v>40</v>
      </c>
      <c r="I4" s="3" t="s">
        <v>41</v>
      </c>
    </row>
    <row r="5" ht="39.75" customHeight="1" spans="1:9">
      <c r="A5" s="4" t="s">
        <v>42</v>
      </c>
      <c r="B5" s="5" t="s">
        <v>13</v>
      </c>
      <c r="C5" s="5" t="s">
        <v>43</v>
      </c>
      <c r="D5" s="6" t="s">
        <v>44</v>
      </c>
      <c r="E5" s="6" t="s">
        <v>45</v>
      </c>
      <c r="F5" s="6" t="s">
        <v>46</v>
      </c>
      <c r="G5" s="7" t="s">
        <v>47</v>
      </c>
      <c r="H5" s="6" t="s">
        <v>48</v>
      </c>
      <c r="I5" s="6" t="s">
        <v>49</v>
      </c>
    </row>
    <row r="6" ht="39.75" customHeight="1" spans="1:9">
      <c r="A6" s="7" t="s">
        <v>50</v>
      </c>
      <c r="B6" s="8" t="s">
        <v>13</v>
      </c>
      <c r="C6" s="8" t="s">
        <v>43</v>
      </c>
      <c r="D6" s="9" t="s">
        <v>51</v>
      </c>
      <c r="E6" s="9" t="s">
        <v>52</v>
      </c>
      <c r="F6" s="9" t="s">
        <v>53</v>
      </c>
      <c r="G6" s="7" t="s">
        <v>47</v>
      </c>
      <c r="H6" s="9" t="s">
        <v>54</v>
      </c>
      <c r="I6" s="9" t="s">
        <v>55</v>
      </c>
    </row>
    <row r="7" ht="39.75" customHeight="1" spans="1:9">
      <c r="A7" s="4" t="s">
        <v>56</v>
      </c>
      <c r="B7" s="5" t="s">
        <v>13</v>
      </c>
      <c r="C7" s="5" t="s">
        <v>43</v>
      </c>
      <c r="D7" s="6" t="s">
        <v>57</v>
      </c>
      <c r="E7" s="6" t="s">
        <v>58</v>
      </c>
      <c r="F7" s="6" t="s">
        <v>59</v>
      </c>
      <c r="G7" s="7" t="s">
        <v>47</v>
      </c>
      <c r="H7" s="6" t="s">
        <v>54</v>
      </c>
      <c r="I7" s="6" t="s">
        <v>60</v>
      </c>
    </row>
    <row r="8" ht="39.75" customHeight="1" spans="1:9">
      <c r="A8" s="7" t="s">
        <v>61</v>
      </c>
      <c r="B8" s="8" t="s">
        <v>13</v>
      </c>
      <c r="C8" s="8" t="s">
        <v>62</v>
      </c>
      <c r="D8" s="9" t="s">
        <v>63</v>
      </c>
      <c r="E8" s="9" t="s">
        <v>64</v>
      </c>
      <c r="F8" s="9" t="s">
        <v>65</v>
      </c>
      <c r="G8" s="7" t="s">
        <v>47</v>
      </c>
      <c r="H8" s="9" t="s">
        <v>48</v>
      </c>
      <c r="I8" s="9" t="s">
        <v>66</v>
      </c>
    </row>
    <row r="9" ht="39.75" customHeight="1" spans="1:9">
      <c r="A9" s="4" t="s">
        <v>67</v>
      </c>
      <c r="B9" s="5" t="s">
        <v>13</v>
      </c>
      <c r="C9" s="5" t="s">
        <v>62</v>
      </c>
      <c r="D9" s="6" t="s">
        <v>68</v>
      </c>
      <c r="E9" s="6" t="s">
        <v>69</v>
      </c>
      <c r="F9" s="6" t="s">
        <v>70</v>
      </c>
      <c r="G9" s="7" t="s">
        <v>47</v>
      </c>
      <c r="H9" s="6" t="s">
        <v>54</v>
      </c>
      <c r="I9" s="6" t="s">
        <v>71</v>
      </c>
    </row>
    <row r="10" ht="39.75" customHeight="1" spans="1:9">
      <c r="A10" s="7" t="s">
        <v>72</v>
      </c>
      <c r="B10" s="8" t="s">
        <v>13</v>
      </c>
      <c r="C10" s="8" t="s">
        <v>73</v>
      </c>
      <c r="D10" s="9" t="s">
        <v>74</v>
      </c>
      <c r="E10" s="9" t="s">
        <v>75</v>
      </c>
      <c r="F10" s="9" t="s">
        <v>76</v>
      </c>
      <c r="G10" s="7" t="s">
        <v>47</v>
      </c>
      <c r="H10" s="9" t="s">
        <v>48</v>
      </c>
      <c r="I10" s="9" t="s">
        <v>77</v>
      </c>
    </row>
    <row r="11" ht="39.75" customHeight="1" spans="1:9">
      <c r="A11" s="4" t="s">
        <v>78</v>
      </c>
      <c r="B11" s="5" t="s">
        <v>13</v>
      </c>
      <c r="C11" s="5" t="s">
        <v>73</v>
      </c>
      <c r="D11" s="6" t="s">
        <v>79</v>
      </c>
      <c r="E11" s="6" t="s">
        <v>80</v>
      </c>
      <c r="F11" s="6" t="s">
        <v>81</v>
      </c>
      <c r="G11" s="7" t="s">
        <v>47</v>
      </c>
      <c r="H11" s="6" t="s">
        <v>48</v>
      </c>
      <c r="I11" s="6" t="s">
        <v>82</v>
      </c>
    </row>
    <row r="12" ht="39.75" customHeight="1" spans="1:9">
      <c r="A12" s="7" t="s">
        <v>83</v>
      </c>
      <c r="B12" s="8" t="s">
        <v>13</v>
      </c>
      <c r="C12" s="8" t="s">
        <v>73</v>
      </c>
      <c r="D12" s="9" t="s">
        <v>84</v>
      </c>
      <c r="E12" s="9" t="s">
        <v>85</v>
      </c>
      <c r="F12" s="9" t="s">
        <v>86</v>
      </c>
      <c r="G12" s="7" t="s">
        <v>47</v>
      </c>
      <c r="H12" s="9" t="s">
        <v>54</v>
      </c>
      <c r="I12" s="9" t="s">
        <v>87</v>
      </c>
    </row>
    <row r="13" ht="39.75" customHeight="1" spans="1:9">
      <c r="A13" s="4" t="s">
        <v>88</v>
      </c>
      <c r="B13" s="5" t="s">
        <v>13</v>
      </c>
      <c r="C13" s="5" t="s">
        <v>73</v>
      </c>
      <c r="D13" s="6" t="s">
        <v>89</v>
      </c>
      <c r="E13" s="6" t="s">
        <v>90</v>
      </c>
      <c r="F13" s="6" t="s">
        <v>91</v>
      </c>
      <c r="G13" s="7" t="s">
        <v>47</v>
      </c>
      <c r="H13" s="6" t="s">
        <v>54</v>
      </c>
      <c r="I13" s="6" t="s">
        <v>92</v>
      </c>
    </row>
    <row r="14" ht="39.75" customHeight="1" spans="1:9">
      <c r="A14" s="7" t="s">
        <v>93</v>
      </c>
      <c r="B14" s="8" t="s">
        <v>13</v>
      </c>
      <c r="C14" s="8" t="s">
        <v>73</v>
      </c>
      <c r="D14" s="9" t="s">
        <v>94</v>
      </c>
      <c r="E14" s="9" t="s">
        <v>95</v>
      </c>
      <c r="F14" s="9" t="s">
        <v>96</v>
      </c>
      <c r="G14" s="7" t="s">
        <v>47</v>
      </c>
      <c r="H14" s="9" t="s">
        <v>97</v>
      </c>
      <c r="I14" s="9" t="s">
        <v>98</v>
      </c>
    </row>
    <row r="15" ht="39.75" customHeight="1" spans="1:9">
      <c r="A15" s="4" t="s">
        <v>99</v>
      </c>
      <c r="B15" s="5" t="s">
        <v>17</v>
      </c>
      <c r="C15" s="5" t="s">
        <v>100</v>
      </c>
      <c r="D15" s="6" t="s">
        <v>101</v>
      </c>
      <c r="E15" s="6" t="s">
        <v>102</v>
      </c>
      <c r="F15" s="6" t="s">
        <v>103</v>
      </c>
      <c r="G15" s="7" t="s">
        <v>104</v>
      </c>
      <c r="H15" s="6" t="s">
        <v>105</v>
      </c>
      <c r="I15" s="6" t="s">
        <v>106</v>
      </c>
    </row>
    <row r="16" ht="39.75" customHeight="1" spans="1:9">
      <c r="A16" s="7" t="s">
        <v>107</v>
      </c>
      <c r="B16" s="8" t="s">
        <v>17</v>
      </c>
      <c r="C16" s="8" t="s">
        <v>100</v>
      </c>
      <c r="D16" s="9" t="s">
        <v>108</v>
      </c>
      <c r="E16" s="9" t="s">
        <v>109</v>
      </c>
      <c r="F16" s="9" t="s">
        <v>110</v>
      </c>
      <c r="G16" s="7" t="s">
        <v>47</v>
      </c>
      <c r="H16" s="9" t="s">
        <v>111</v>
      </c>
      <c r="I16" s="9" t="s">
        <v>112</v>
      </c>
    </row>
    <row r="17" ht="39.75" customHeight="1" spans="1:9">
      <c r="A17" s="4" t="s">
        <v>113</v>
      </c>
      <c r="B17" s="5" t="s">
        <v>17</v>
      </c>
      <c r="C17" s="5" t="s">
        <v>114</v>
      </c>
      <c r="D17" s="6" t="s">
        <v>115</v>
      </c>
      <c r="E17" s="6" t="s">
        <v>116</v>
      </c>
      <c r="F17" s="6" t="s">
        <v>117</v>
      </c>
      <c r="G17" s="7" t="s">
        <v>47</v>
      </c>
      <c r="H17" s="6" t="s">
        <v>118</v>
      </c>
      <c r="I17" s="6" t="s">
        <v>119</v>
      </c>
    </row>
    <row r="18" ht="39.75" customHeight="1" spans="1:9">
      <c r="A18" s="7" t="s">
        <v>120</v>
      </c>
      <c r="B18" s="8" t="s">
        <v>17</v>
      </c>
      <c r="C18" s="8" t="s">
        <v>121</v>
      </c>
      <c r="D18" s="9" t="s">
        <v>122</v>
      </c>
      <c r="E18" s="9" t="s">
        <v>123</v>
      </c>
      <c r="F18" s="9" t="s">
        <v>124</v>
      </c>
      <c r="G18" s="7" t="s">
        <v>47</v>
      </c>
      <c r="H18" s="9" t="s">
        <v>125</v>
      </c>
      <c r="I18" s="9" t="s">
        <v>126</v>
      </c>
    </row>
    <row r="19" ht="39.75" customHeight="1" spans="1:9">
      <c r="A19" s="4" t="s">
        <v>127</v>
      </c>
      <c r="B19" s="5" t="s">
        <v>17</v>
      </c>
      <c r="C19" s="5" t="s">
        <v>121</v>
      </c>
      <c r="D19" s="6" t="s">
        <v>128</v>
      </c>
      <c r="E19" s="6" t="s">
        <v>129</v>
      </c>
      <c r="F19" s="6" t="s">
        <v>130</v>
      </c>
      <c r="G19" s="7" t="s">
        <v>47</v>
      </c>
      <c r="H19" s="6" t="s">
        <v>131</v>
      </c>
      <c r="I19" s="6" t="s">
        <v>132</v>
      </c>
    </row>
    <row r="20" ht="39.75" customHeight="1" spans="1:9">
      <c r="A20" s="7" t="s">
        <v>133</v>
      </c>
      <c r="B20" s="8" t="s">
        <v>17</v>
      </c>
      <c r="C20" s="8" t="s">
        <v>134</v>
      </c>
      <c r="D20" s="9" t="s">
        <v>135</v>
      </c>
      <c r="E20" s="9" t="s">
        <v>136</v>
      </c>
      <c r="F20" s="9" t="s">
        <v>137</v>
      </c>
      <c r="G20" s="7" t="s">
        <v>104</v>
      </c>
      <c r="H20" s="9" t="s">
        <v>138</v>
      </c>
      <c r="I20" s="9" t="s">
        <v>139</v>
      </c>
    </row>
    <row r="21" ht="39.75" customHeight="1" spans="1:9">
      <c r="A21" s="4" t="s">
        <v>140</v>
      </c>
      <c r="B21" s="5" t="s">
        <v>17</v>
      </c>
      <c r="C21" s="5" t="s">
        <v>134</v>
      </c>
      <c r="D21" s="6" t="s">
        <v>141</v>
      </c>
      <c r="E21" s="6" t="s">
        <v>142</v>
      </c>
      <c r="F21" s="6" t="s">
        <v>143</v>
      </c>
      <c r="G21" s="7" t="s">
        <v>47</v>
      </c>
      <c r="H21" s="6" t="s">
        <v>144</v>
      </c>
      <c r="I21" s="6" t="s">
        <v>145</v>
      </c>
    </row>
    <row r="22" ht="39.75" customHeight="1" spans="1:9">
      <c r="A22" s="7" t="s">
        <v>146</v>
      </c>
      <c r="B22" s="8" t="s">
        <v>21</v>
      </c>
      <c r="C22" s="8" t="s">
        <v>147</v>
      </c>
      <c r="D22" s="9" t="s">
        <v>148</v>
      </c>
      <c r="E22" s="9" t="s">
        <v>149</v>
      </c>
      <c r="F22" s="9" t="s">
        <v>150</v>
      </c>
      <c r="G22" s="7" t="s">
        <v>104</v>
      </c>
      <c r="H22" s="9" t="s">
        <v>151</v>
      </c>
      <c r="I22" s="9" t="s">
        <v>152</v>
      </c>
    </row>
    <row r="23" ht="39.75" customHeight="1" spans="1:9">
      <c r="A23" s="4" t="s">
        <v>153</v>
      </c>
      <c r="B23" s="5" t="s">
        <v>21</v>
      </c>
      <c r="C23" s="5" t="s">
        <v>147</v>
      </c>
      <c r="D23" s="6" t="s">
        <v>154</v>
      </c>
      <c r="E23" s="6" t="s">
        <v>155</v>
      </c>
      <c r="F23" s="6" t="s">
        <v>156</v>
      </c>
      <c r="G23" s="7" t="s">
        <v>104</v>
      </c>
      <c r="H23" s="6" t="s">
        <v>157</v>
      </c>
      <c r="I23" s="6" t="s">
        <v>158</v>
      </c>
    </row>
    <row r="24" ht="39.75" customHeight="1" spans="1:9">
      <c r="A24" s="7" t="s">
        <v>159</v>
      </c>
      <c r="B24" s="8" t="s">
        <v>21</v>
      </c>
      <c r="C24" s="8" t="s">
        <v>160</v>
      </c>
      <c r="D24" s="9" t="s">
        <v>161</v>
      </c>
      <c r="E24" s="9" t="s">
        <v>162</v>
      </c>
      <c r="F24" s="9" t="s">
        <v>163</v>
      </c>
      <c r="G24" s="7" t="s">
        <v>104</v>
      </c>
      <c r="H24" s="9" t="s">
        <v>164</v>
      </c>
      <c r="I24" s="9" t="s">
        <v>165</v>
      </c>
    </row>
    <row r="25" ht="39.75" customHeight="1" spans="1:9">
      <c r="A25" s="4" t="s">
        <v>166</v>
      </c>
      <c r="B25" s="5" t="s">
        <v>21</v>
      </c>
      <c r="C25" s="5" t="s">
        <v>167</v>
      </c>
      <c r="D25" s="6" t="s">
        <v>168</v>
      </c>
      <c r="E25" s="6" t="s">
        <v>169</v>
      </c>
      <c r="F25" s="6" t="s">
        <v>170</v>
      </c>
      <c r="G25" s="7" t="s">
        <v>104</v>
      </c>
      <c r="H25" s="6" t="s">
        <v>171</v>
      </c>
      <c r="I25" s="6" t="s">
        <v>172</v>
      </c>
    </row>
    <row r="26" ht="39.75" customHeight="1" spans="1:9">
      <c r="A26" s="7" t="s">
        <v>173</v>
      </c>
      <c r="B26" s="8" t="s">
        <v>21</v>
      </c>
      <c r="C26" s="8" t="s">
        <v>167</v>
      </c>
      <c r="D26" s="9" t="s">
        <v>174</v>
      </c>
      <c r="E26" s="9" t="s">
        <v>175</v>
      </c>
      <c r="F26" s="9" t="s">
        <v>176</v>
      </c>
      <c r="G26" s="7" t="s">
        <v>104</v>
      </c>
      <c r="H26" s="9" t="s">
        <v>177</v>
      </c>
      <c r="I26" s="9" t="s">
        <v>178</v>
      </c>
    </row>
    <row r="27" ht="39.75" customHeight="1" spans="1:9">
      <c r="A27" s="4" t="s">
        <v>179</v>
      </c>
      <c r="B27" s="5" t="s">
        <v>25</v>
      </c>
      <c r="C27" s="5" t="s">
        <v>180</v>
      </c>
      <c r="D27" s="6" t="s">
        <v>181</v>
      </c>
      <c r="E27" s="6" t="s">
        <v>182</v>
      </c>
      <c r="F27" s="6" t="s">
        <v>183</v>
      </c>
      <c r="G27" s="7" t="s">
        <v>47</v>
      </c>
      <c r="H27" s="6" t="s">
        <v>184</v>
      </c>
      <c r="I27" s="6" t="s">
        <v>185</v>
      </c>
    </row>
    <row r="28" ht="39.75" customHeight="1" spans="1:9">
      <c r="A28" s="7" t="s">
        <v>186</v>
      </c>
      <c r="B28" s="8" t="s">
        <v>25</v>
      </c>
      <c r="C28" s="8" t="s">
        <v>187</v>
      </c>
      <c r="D28" s="9" t="s">
        <v>188</v>
      </c>
      <c r="E28" s="9" t="s">
        <v>189</v>
      </c>
      <c r="F28" s="9" t="s">
        <v>190</v>
      </c>
      <c r="G28" s="7" t="s">
        <v>104</v>
      </c>
      <c r="H28" s="9" t="s">
        <v>191</v>
      </c>
      <c r="I28" s="9" t="s">
        <v>192</v>
      </c>
    </row>
    <row r="29" ht="39.75" customHeight="1" spans="1:9">
      <c r="A29" s="4" t="s">
        <v>193</v>
      </c>
      <c r="B29" s="5" t="s">
        <v>25</v>
      </c>
      <c r="C29" s="5" t="s">
        <v>194</v>
      </c>
      <c r="D29" s="6" t="s">
        <v>195</v>
      </c>
      <c r="E29" s="6" t="s">
        <v>196</v>
      </c>
      <c r="F29" s="6" t="s">
        <v>197</v>
      </c>
      <c r="G29" s="7" t="s">
        <v>104</v>
      </c>
      <c r="H29" s="6" t="s">
        <v>198</v>
      </c>
      <c r="I29" s="6" t="s">
        <v>199</v>
      </c>
    </row>
    <row r="30" ht="51.75" customHeight="1" spans="1:9">
      <c r="A30" s="7" t="s">
        <v>200</v>
      </c>
      <c r="B30" s="8" t="s">
        <v>25</v>
      </c>
      <c r="C30" s="8" t="s">
        <v>201</v>
      </c>
      <c r="D30" s="9" t="s">
        <v>202</v>
      </c>
      <c r="E30" s="9" t="s">
        <v>203</v>
      </c>
      <c r="F30" s="9" t="s">
        <v>204</v>
      </c>
      <c r="G30" s="7" t="s">
        <v>47</v>
      </c>
      <c r="H30" s="9" t="s">
        <v>205</v>
      </c>
      <c r="I30" s="9"/>
    </row>
    <row r="31" ht="51.75" customHeight="1" spans="1:9">
      <c r="A31" s="4" t="s">
        <v>206</v>
      </c>
      <c r="B31" s="5" t="s">
        <v>25</v>
      </c>
      <c r="C31" s="5" t="s">
        <v>207</v>
      </c>
      <c r="D31" s="6" t="s">
        <v>208</v>
      </c>
      <c r="E31" s="6" t="s">
        <v>209</v>
      </c>
      <c r="F31" s="6" t="s">
        <v>210</v>
      </c>
      <c r="G31" s="7" t="s">
        <v>47</v>
      </c>
      <c r="H31" s="6" t="s">
        <v>211</v>
      </c>
      <c r="I31" s="6" t="s">
        <v>212</v>
      </c>
    </row>
    <row r="32" ht="51.75" customHeight="1" spans="1:9">
      <c r="A32" s="7" t="s">
        <v>213</v>
      </c>
      <c r="B32" s="8" t="s">
        <v>25</v>
      </c>
      <c r="C32" s="8" t="s">
        <v>214</v>
      </c>
      <c r="D32" s="9" t="s">
        <v>215</v>
      </c>
      <c r="E32" s="9" t="s">
        <v>216</v>
      </c>
      <c r="F32" s="9" t="s">
        <v>217</v>
      </c>
      <c r="G32" s="7" t="s">
        <v>47</v>
      </c>
      <c r="H32" s="9" t="s">
        <v>218</v>
      </c>
      <c r="I32" s="9" t="s">
        <v>219</v>
      </c>
    </row>
    <row r="33" ht="51.75" customHeight="1" spans="1:9">
      <c r="A33" s="4" t="s">
        <v>220</v>
      </c>
      <c r="B33" s="5" t="s">
        <v>25</v>
      </c>
      <c r="C33" s="5" t="s">
        <v>221</v>
      </c>
      <c r="D33" s="6" t="s">
        <v>222</v>
      </c>
      <c r="E33" s="6" t="s">
        <v>223</v>
      </c>
      <c r="F33" s="6" t="s">
        <v>224</v>
      </c>
      <c r="G33" s="7" t="s">
        <v>47</v>
      </c>
      <c r="H33" s="6" t="s">
        <v>225</v>
      </c>
      <c r="I33" s="6" t="s">
        <v>226</v>
      </c>
    </row>
    <row r="34" ht="51.75" customHeight="1" spans="1:9">
      <c r="A34" s="7" t="s">
        <v>227</v>
      </c>
      <c r="B34" s="8" t="s">
        <v>25</v>
      </c>
      <c r="C34" s="8" t="s">
        <v>221</v>
      </c>
      <c r="D34" s="9" t="s">
        <v>228</v>
      </c>
      <c r="E34" s="9" t="s">
        <v>229</v>
      </c>
      <c r="F34" s="9" t="s">
        <v>230</v>
      </c>
      <c r="G34" s="7" t="s">
        <v>47</v>
      </c>
      <c r="H34" s="9" t="s">
        <v>231</v>
      </c>
      <c r="I34" s="9" t="s">
        <v>232</v>
      </c>
    </row>
    <row r="35" ht="51.75" customHeight="1" spans="1:9">
      <c r="A35" s="4" t="s">
        <v>233</v>
      </c>
      <c r="B35" s="5" t="s">
        <v>25</v>
      </c>
      <c r="C35" s="5" t="s">
        <v>221</v>
      </c>
      <c r="D35" s="6" t="s">
        <v>234</v>
      </c>
      <c r="E35" s="6" t="s">
        <v>235</v>
      </c>
      <c r="F35" s="6" t="s">
        <v>236</v>
      </c>
      <c r="G35" s="7" t="s">
        <v>47</v>
      </c>
      <c r="H35" s="6" t="s">
        <v>231</v>
      </c>
      <c r="I35" s="6" t="s">
        <v>237</v>
      </c>
    </row>
    <row r="36" ht="51.75" customHeight="1" spans="1:9">
      <c r="A36" s="7" t="s">
        <v>238</v>
      </c>
      <c r="B36" s="8" t="s">
        <v>25</v>
      </c>
      <c r="C36" s="8" t="s">
        <v>221</v>
      </c>
      <c r="D36" s="9" t="s">
        <v>239</v>
      </c>
      <c r="E36" s="9" t="s">
        <v>240</v>
      </c>
      <c r="F36" s="9" t="s">
        <v>241</v>
      </c>
      <c r="G36" s="7" t="s">
        <v>47</v>
      </c>
      <c r="H36" s="9" t="s">
        <v>231</v>
      </c>
      <c r="I36" s="9" t="s">
        <v>242</v>
      </c>
    </row>
    <row r="37" ht="51.75" customHeight="1" spans="1:9">
      <c r="A37" s="4" t="s">
        <v>243</v>
      </c>
      <c r="B37" s="5" t="s">
        <v>25</v>
      </c>
      <c r="C37" s="5" t="s">
        <v>221</v>
      </c>
      <c r="D37" s="6" t="s">
        <v>244</v>
      </c>
      <c r="E37" s="6" t="s">
        <v>245</v>
      </c>
      <c r="F37" s="6" t="s">
        <v>246</v>
      </c>
      <c r="G37" s="7" t="s">
        <v>47</v>
      </c>
      <c r="H37" s="6" t="s">
        <v>231</v>
      </c>
      <c r="I37" s="6" t="s">
        <v>247</v>
      </c>
    </row>
    <row r="38" ht="51.75" customHeight="1" spans="1:9">
      <c r="A38" s="7" t="s">
        <v>248</v>
      </c>
      <c r="B38" s="8" t="s">
        <v>25</v>
      </c>
      <c r="C38" s="8" t="s">
        <v>221</v>
      </c>
      <c r="D38" s="9" t="s">
        <v>249</v>
      </c>
      <c r="E38" s="9" t="s">
        <v>250</v>
      </c>
      <c r="F38" s="9" t="s">
        <v>251</v>
      </c>
      <c r="G38" s="7" t="s">
        <v>47</v>
      </c>
      <c r="H38" s="9" t="s">
        <v>231</v>
      </c>
      <c r="I38" s="9" t="s">
        <v>252</v>
      </c>
    </row>
    <row r="39" ht="51.75" customHeight="1" spans="1:9">
      <c r="A39" s="4" t="s">
        <v>253</v>
      </c>
      <c r="B39" s="5" t="s">
        <v>25</v>
      </c>
      <c r="C39" s="5" t="s">
        <v>221</v>
      </c>
      <c r="D39" s="6" t="s">
        <v>254</v>
      </c>
      <c r="E39" s="6" t="s">
        <v>255</v>
      </c>
      <c r="F39" s="6" t="s">
        <v>256</v>
      </c>
      <c r="G39" s="7" t="s">
        <v>47</v>
      </c>
      <c r="H39" s="6" t="s">
        <v>231</v>
      </c>
      <c r="I39" s="6" t="s">
        <v>257</v>
      </c>
    </row>
  </sheetData>
  <autoFilter xmlns:etc="http://www.wps.cn/officeDocument/2017/etCustomData" ref="A4:I39" etc:filterBottomFollowUsedRange="0">
    <extLst/>
  </autoFilter>
  <conditionalFormatting sqref="G5:G39">
    <cfRule type="cellIs" dxfId="0" priority="2" operator="equal">
      <formula>"PASS"</formula>
    </cfRule>
    <cfRule type="cellIs" dxfId="1" priority="3" operator="equal">
      <formula>"PENDING"</formula>
    </cfRule>
    <cfRule type="cellIs" dxfId="2" priority="4" operator="equal">
      <formula>"FAIL"</formula>
    </cfRule>
  </conditionalFormatting>
  <dataValidations count="1">
    <dataValidation type="list" sqref="G5:G39">
      <formula1>"PASS,FAIL,PENDING"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pane ySplit="4" topLeftCell="A15" activePane="bottomLeft" state="frozen"/>
      <selection/>
      <selection pane="bottomLeft" activeCell="E19" sqref="E19"/>
    </sheetView>
  </sheetViews>
  <sheetFormatPr defaultColWidth="8.67592592592593" defaultRowHeight="14.4"/>
  <cols>
    <col min="1" max="1" width="14" customWidth="1"/>
    <col min="2" max="2" width="26" customWidth="1"/>
    <col min="3" max="4" width="22" customWidth="1"/>
    <col min="5" max="5" width="34" customWidth="1"/>
    <col min="6" max="6" width="38" customWidth="1"/>
    <col min="7" max="7" width="42" customWidth="1"/>
    <col min="8" max="8" width="46" customWidth="1"/>
    <col min="9" max="9" width="16" customWidth="1"/>
  </cols>
  <sheetData>
    <row r="1" ht="19.8" spans="1:9">
      <c r="A1" s="1" t="s">
        <v>258</v>
      </c>
    </row>
    <row r="2" spans="1:9">
      <c r="A2" s="2" t="s">
        <v>259</v>
      </c>
    </row>
    <row r="4" ht="27.75" customHeight="1" spans="1:9">
      <c r="A4" s="3" t="s">
        <v>260</v>
      </c>
      <c r="B4" s="3" t="s">
        <v>261</v>
      </c>
      <c r="C4" s="3" t="s">
        <v>262</v>
      </c>
      <c r="D4" s="3" t="s">
        <v>263</v>
      </c>
      <c r="E4" s="3" t="s">
        <v>264</v>
      </c>
      <c r="F4" s="3" t="s">
        <v>265</v>
      </c>
      <c r="G4" s="3" t="s">
        <v>266</v>
      </c>
      <c r="H4" s="3" t="s">
        <v>267</v>
      </c>
      <c r="I4" s="3" t="s">
        <v>268</v>
      </c>
    </row>
    <row r="5" ht="54" customHeight="1" spans="1:9">
      <c r="A5" s="4" t="s">
        <v>269</v>
      </c>
      <c r="B5" s="5" t="s">
        <v>270</v>
      </c>
      <c r="C5" s="5" t="s">
        <v>271</v>
      </c>
      <c r="D5" s="4" t="s">
        <v>272</v>
      </c>
      <c r="E5" s="6" t="s">
        <v>273</v>
      </c>
      <c r="F5" s="6" t="s">
        <v>274</v>
      </c>
      <c r="G5" s="6" t="s">
        <v>275</v>
      </c>
      <c r="H5" s="6" t="s">
        <v>276</v>
      </c>
      <c r="I5" s="7" t="s">
        <v>277</v>
      </c>
    </row>
    <row r="6" ht="54" customHeight="1" spans="1:9">
      <c r="A6" s="7" t="s">
        <v>278</v>
      </c>
      <c r="B6" s="8" t="s">
        <v>279</v>
      </c>
      <c r="C6" s="8" t="s">
        <v>280</v>
      </c>
      <c r="D6" s="7" t="s">
        <v>281</v>
      </c>
      <c r="E6" s="9" t="s">
        <v>282</v>
      </c>
      <c r="F6" s="9" t="s">
        <v>283</v>
      </c>
      <c r="G6" s="9" t="s">
        <v>284</v>
      </c>
      <c r="H6" s="9" t="s">
        <v>285</v>
      </c>
      <c r="I6" s="7" t="s">
        <v>286</v>
      </c>
    </row>
    <row r="7" ht="54" customHeight="1" spans="1:9">
      <c r="A7" s="4" t="s">
        <v>287</v>
      </c>
      <c r="B7" s="5" t="s">
        <v>288</v>
      </c>
      <c r="C7" s="5" t="s">
        <v>289</v>
      </c>
      <c r="D7" s="4" t="s">
        <v>290</v>
      </c>
      <c r="E7" s="6" t="s">
        <v>291</v>
      </c>
      <c r="F7" s="6" t="s">
        <v>292</v>
      </c>
      <c r="G7" s="6" t="s">
        <v>293</v>
      </c>
      <c r="H7" s="6" t="s">
        <v>294</v>
      </c>
      <c r="I7" s="7" t="s">
        <v>286</v>
      </c>
    </row>
    <row r="8" ht="54" customHeight="1" spans="1:9">
      <c r="A8" s="7" t="s">
        <v>295</v>
      </c>
      <c r="B8" s="8" t="s">
        <v>296</v>
      </c>
      <c r="C8" s="8" t="s">
        <v>14</v>
      </c>
      <c r="D8" s="7" t="s">
        <v>297</v>
      </c>
      <c r="E8" s="9" t="s">
        <v>298</v>
      </c>
      <c r="F8" s="9" t="s">
        <v>299</v>
      </c>
      <c r="G8" s="9" t="s">
        <v>300</v>
      </c>
      <c r="H8" s="9" t="s">
        <v>301</v>
      </c>
      <c r="I8" s="7" t="s">
        <v>286</v>
      </c>
    </row>
    <row r="9" ht="54" customHeight="1" spans="1:9">
      <c r="A9" s="4" t="s">
        <v>302</v>
      </c>
      <c r="B9" s="5" t="s">
        <v>303</v>
      </c>
      <c r="C9" s="5" t="s">
        <v>18</v>
      </c>
      <c r="D9" s="4" t="s">
        <v>304</v>
      </c>
      <c r="E9" s="6" t="s">
        <v>305</v>
      </c>
      <c r="F9" s="6" t="s">
        <v>306</v>
      </c>
      <c r="G9" s="6" t="s">
        <v>307</v>
      </c>
      <c r="H9" s="6" t="s">
        <v>308</v>
      </c>
      <c r="I9" s="7" t="s">
        <v>277</v>
      </c>
    </row>
    <row r="10" ht="54" customHeight="1" spans="1:9">
      <c r="A10" s="7" t="s">
        <v>309</v>
      </c>
      <c r="B10" s="8" t="s">
        <v>310</v>
      </c>
      <c r="C10" s="8" t="s">
        <v>18</v>
      </c>
      <c r="D10" s="7" t="s">
        <v>311</v>
      </c>
      <c r="E10" s="9" t="s">
        <v>312</v>
      </c>
      <c r="F10" s="9" t="s">
        <v>313</v>
      </c>
      <c r="G10" s="9" t="s">
        <v>314</v>
      </c>
      <c r="H10" s="9" t="s">
        <v>315</v>
      </c>
      <c r="I10" s="7" t="s">
        <v>277</v>
      </c>
    </row>
    <row r="11" ht="54" customHeight="1" spans="1:9">
      <c r="A11" s="4" t="s">
        <v>316</v>
      </c>
      <c r="B11" s="5" t="s">
        <v>317</v>
      </c>
      <c r="C11" s="5" t="s">
        <v>318</v>
      </c>
      <c r="D11" s="4" t="s">
        <v>319</v>
      </c>
      <c r="E11" s="6" t="s">
        <v>320</v>
      </c>
      <c r="F11" s="6" t="s">
        <v>321</v>
      </c>
      <c r="G11" s="6" t="s">
        <v>322</v>
      </c>
      <c r="H11" s="6" t="s">
        <v>323</v>
      </c>
      <c r="I11" s="7" t="s">
        <v>277</v>
      </c>
    </row>
    <row r="12" ht="54" customHeight="1" spans="1:9">
      <c r="A12" s="7" t="s">
        <v>324</v>
      </c>
      <c r="B12" s="8" t="s">
        <v>325</v>
      </c>
      <c r="C12" s="8" t="s">
        <v>22</v>
      </c>
      <c r="D12" s="7" t="s">
        <v>326</v>
      </c>
      <c r="E12" s="9" t="s">
        <v>327</v>
      </c>
      <c r="F12" s="9" t="s">
        <v>328</v>
      </c>
      <c r="G12" s="9" t="s">
        <v>329</v>
      </c>
      <c r="H12" s="9" t="s">
        <v>330</v>
      </c>
      <c r="I12" s="7" t="s">
        <v>277</v>
      </c>
    </row>
    <row r="13" ht="54" customHeight="1" spans="1:9">
      <c r="A13" s="4" t="s">
        <v>331</v>
      </c>
      <c r="B13" s="5" t="s">
        <v>332</v>
      </c>
      <c r="C13" s="5" t="s">
        <v>22</v>
      </c>
      <c r="D13" s="4" t="s">
        <v>333</v>
      </c>
      <c r="E13" s="6" t="s">
        <v>334</v>
      </c>
      <c r="F13" s="6" t="s">
        <v>335</v>
      </c>
      <c r="G13" s="6" t="s">
        <v>336</v>
      </c>
      <c r="H13" s="6" t="s">
        <v>337</v>
      </c>
      <c r="I13" s="7" t="s">
        <v>277</v>
      </c>
    </row>
    <row r="14" ht="54" customHeight="1" spans="1:9">
      <c r="A14" s="7" t="s">
        <v>338</v>
      </c>
      <c r="B14" s="8" t="s">
        <v>339</v>
      </c>
      <c r="C14" s="8" t="s">
        <v>22</v>
      </c>
      <c r="D14" s="7" t="s">
        <v>340</v>
      </c>
      <c r="E14" s="9" t="s">
        <v>341</v>
      </c>
      <c r="F14" s="9" t="s">
        <v>342</v>
      </c>
      <c r="G14" s="9" t="s">
        <v>343</v>
      </c>
      <c r="H14" s="9" t="s">
        <v>344</v>
      </c>
      <c r="I14" s="7" t="s">
        <v>277</v>
      </c>
    </row>
    <row r="15" ht="54" customHeight="1" spans="1:9">
      <c r="A15" s="4" t="s">
        <v>345</v>
      </c>
      <c r="B15" s="5" t="s">
        <v>346</v>
      </c>
      <c r="C15" s="5" t="s">
        <v>22</v>
      </c>
      <c r="D15" s="4" t="s">
        <v>347</v>
      </c>
      <c r="E15" s="6" t="s">
        <v>348</v>
      </c>
      <c r="F15" s="6" t="s">
        <v>349</v>
      </c>
      <c r="G15" s="6" t="s">
        <v>350</v>
      </c>
      <c r="H15" s="6" t="s">
        <v>351</v>
      </c>
      <c r="I15" s="7" t="s">
        <v>277</v>
      </c>
    </row>
    <row r="16" ht="54" customHeight="1" spans="1:9">
      <c r="A16" s="7" t="s">
        <v>352</v>
      </c>
      <c r="B16" s="8" t="s">
        <v>353</v>
      </c>
      <c r="C16" s="8" t="s">
        <v>22</v>
      </c>
      <c r="D16" s="7" t="s">
        <v>354</v>
      </c>
      <c r="E16" s="9" t="s">
        <v>355</v>
      </c>
      <c r="F16" s="9" t="s">
        <v>356</v>
      </c>
      <c r="G16" s="9" t="s">
        <v>357</v>
      </c>
      <c r="H16" s="9" t="s">
        <v>358</v>
      </c>
      <c r="I16" s="7" t="s">
        <v>277</v>
      </c>
    </row>
    <row r="17" ht="54" customHeight="1" spans="1:9">
      <c r="A17" s="4" t="s">
        <v>359</v>
      </c>
      <c r="B17" s="5" t="s">
        <v>360</v>
      </c>
      <c r="C17" s="5" t="s">
        <v>361</v>
      </c>
      <c r="D17" s="4" t="s">
        <v>362</v>
      </c>
      <c r="E17" s="6" t="s">
        <v>363</v>
      </c>
      <c r="F17" s="6" t="s">
        <v>364</v>
      </c>
      <c r="G17" s="6" t="s">
        <v>365</v>
      </c>
      <c r="H17" s="6" t="s">
        <v>366</v>
      </c>
      <c r="I17" s="7" t="s">
        <v>277</v>
      </c>
    </row>
    <row r="18" ht="66" customHeight="1" spans="1:9">
      <c r="A18" s="4" t="s">
        <v>367</v>
      </c>
      <c r="B18" s="5" t="s">
        <v>368</v>
      </c>
      <c r="C18" s="5" t="s">
        <v>318</v>
      </c>
      <c r="D18" s="4" t="s">
        <v>369</v>
      </c>
      <c r="E18" s="6" t="s">
        <v>370</v>
      </c>
      <c r="F18" s="6" t="s">
        <v>371</v>
      </c>
      <c r="G18" s="6" t="s">
        <v>372</v>
      </c>
      <c r="H18" s="6" t="s">
        <v>373</v>
      </c>
      <c r="I18" s="7" t="s">
        <v>277</v>
      </c>
    </row>
    <row r="19" ht="66" customHeight="1" spans="1:9">
      <c r="A19" s="4" t="s">
        <v>374</v>
      </c>
      <c r="B19" s="5" t="s">
        <v>375</v>
      </c>
      <c r="C19" s="5" t="s">
        <v>376</v>
      </c>
      <c r="D19" s="4" t="s">
        <v>377</v>
      </c>
      <c r="E19" s="6" t="s">
        <v>378</v>
      </c>
      <c r="F19" s="6" t="s">
        <v>379</v>
      </c>
      <c r="G19" s="6" t="s">
        <v>380</v>
      </c>
      <c r="H19" s="6" t="s">
        <v>381</v>
      </c>
      <c r="I19" s="7" t="s">
        <v>277</v>
      </c>
    </row>
  </sheetData>
  <conditionalFormatting sqref="I5:I19">
    <cfRule type="cellIs" dxfId="2" priority="2" operator="equal">
      <formula>"OPEN"</formula>
    </cfRule>
    <cfRule type="cellIs" dxfId="0" priority="3" operator="equal">
      <formula>"RESOLVED"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opLeftCell="B1" workbookViewId="0">
      <pane ySplit="4" topLeftCell="A5" activePane="bottomLeft" state="frozen"/>
      <selection/>
      <selection pane="bottomLeft" activeCell="E11" sqref="E11"/>
    </sheetView>
  </sheetViews>
  <sheetFormatPr defaultColWidth="8.67592592592593" defaultRowHeight="14.4" outlineLevelCol="6"/>
  <cols>
    <col min="1" max="1" width="12" customWidth="1"/>
    <col min="2" max="2" width="22" customWidth="1"/>
    <col min="3" max="3" width="48" customWidth="1"/>
    <col min="4" max="4" width="24" customWidth="1"/>
    <col min="5" max="6" width="28" customWidth="1"/>
    <col min="7" max="7" width="38" customWidth="1"/>
  </cols>
  <sheetData>
    <row r="1" ht="19.8" spans="1:7">
      <c r="A1" s="1" t="s">
        <v>382</v>
      </c>
    </row>
    <row r="2" spans="1:7">
      <c r="A2" s="2" t="s">
        <v>383</v>
      </c>
    </row>
    <row r="4" ht="27.75" customHeight="1" spans="1:7">
      <c r="A4" s="3" t="s">
        <v>384</v>
      </c>
      <c r="B4" s="3" t="s">
        <v>385</v>
      </c>
      <c r="C4" s="3" t="s">
        <v>386</v>
      </c>
      <c r="D4" s="3" t="s">
        <v>387</v>
      </c>
      <c r="E4" s="3" t="s">
        <v>388</v>
      </c>
      <c r="F4" s="3" t="s">
        <v>389</v>
      </c>
      <c r="G4" s="3" t="s">
        <v>390</v>
      </c>
    </row>
    <row r="5" ht="42" customHeight="1" spans="1:7">
      <c r="A5" s="4" t="s">
        <v>391</v>
      </c>
      <c r="B5" s="5" t="s">
        <v>392</v>
      </c>
      <c r="C5" s="6" t="s">
        <v>393</v>
      </c>
      <c r="D5" s="4" t="s">
        <v>394</v>
      </c>
      <c r="E5" s="4" t="s">
        <v>395</v>
      </c>
      <c r="F5" s="4" t="s">
        <v>396</v>
      </c>
      <c r="G5" s="6" t="s">
        <v>397</v>
      </c>
    </row>
    <row r="6" ht="42" customHeight="1" spans="1:7">
      <c r="A6" s="7" t="s">
        <v>398</v>
      </c>
      <c r="B6" s="8" t="s">
        <v>399</v>
      </c>
      <c r="C6" s="9" t="s">
        <v>400</v>
      </c>
      <c r="D6" s="7" t="s">
        <v>401</v>
      </c>
      <c r="E6" s="7" t="s">
        <v>401</v>
      </c>
      <c r="F6" s="7" t="s">
        <v>402</v>
      </c>
      <c r="G6" s="9" t="s">
        <v>403</v>
      </c>
    </row>
    <row r="7" ht="42" customHeight="1" spans="1:7">
      <c r="A7" s="4" t="s">
        <v>404</v>
      </c>
      <c r="B7" s="5" t="s">
        <v>405</v>
      </c>
      <c r="C7" s="6" t="s">
        <v>406</v>
      </c>
      <c r="D7" s="4" t="s">
        <v>407</v>
      </c>
      <c r="E7" s="4" t="s">
        <v>408</v>
      </c>
      <c r="F7" s="4" t="s">
        <v>409</v>
      </c>
      <c r="G7" s="6" t="s">
        <v>410</v>
      </c>
    </row>
    <row r="8" ht="42" customHeight="1" spans="1:7">
      <c r="A8" s="7" t="s">
        <v>411</v>
      </c>
      <c r="B8" s="8" t="s">
        <v>412</v>
      </c>
      <c r="C8" s="9" t="s">
        <v>413</v>
      </c>
      <c r="D8" s="7" t="s">
        <v>414</v>
      </c>
      <c r="E8" s="7" t="s">
        <v>415</v>
      </c>
      <c r="F8" s="7" t="s">
        <v>416</v>
      </c>
      <c r="G8" s="9" t="s">
        <v>417</v>
      </c>
    </row>
    <row r="9" ht="42" customHeight="1" spans="1:7">
      <c r="A9" s="4" t="s">
        <v>418</v>
      </c>
      <c r="B9" s="5" t="s">
        <v>419</v>
      </c>
      <c r="C9" s="6" t="s">
        <v>420</v>
      </c>
      <c r="D9" s="4" t="s">
        <v>421</v>
      </c>
      <c r="E9" s="4" t="s">
        <v>422</v>
      </c>
      <c r="F9" s="4" t="s">
        <v>423</v>
      </c>
      <c r="G9" s="6" t="s">
        <v>424</v>
      </c>
    </row>
    <row r="10" ht="42" customHeight="1" spans="1:7">
      <c r="A10" s="7" t="s">
        <v>425</v>
      </c>
      <c r="B10" s="8" t="s">
        <v>426</v>
      </c>
      <c r="C10" s="9" t="s">
        <v>427</v>
      </c>
      <c r="D10" s="7" t="s">
        <v>428</v>
      </c>
      <c r="E10" s="7" t="s">
        <v>429</v>
      </c>
      <c r="F10" s="7" t="s">
        <v>430</v>
      </c>
      <c r="G10" s="9" t="s">
        <v>424</v>
      </c>
    </row>
    <row r="11" ht="42" customHeight="1" spans="1:7">
      <c r="A11" s="4" t="s">
        <v>431</v>
      </c>
      <c r="B11" s="5" t="s">
        <v>432</v>
      </c>
      <c r="C11" s="6" t="s">
        <v>433</v>
      </c>
      <c r="D11" s="4" t="s">
        <v>434</v>
      </c>
      <c r="E11" s="4" t="s">
        <v>435</v>
      </c>
      <c r="F11" s="4" t="s">
        <v>436</v>
      </c>
      <c r="G11" s="6" t="s">
        <v>437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Tong_Quan_Dashboard</vt:lpstr>
      <vt:lpstr>Bang_Kiem_Thu_Chi_Tiet</vt:lpstr>
      <vt:lpstr>Danh_Sach_Loi_Bug_Log</vt:lpstr>
      <vt:lpstr>Checklist_Tich_Hop_AI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Nhan Hồng</cp:lastModifiedBy>
  <cp:revision>1</cp:revision>
  <dcterms:created xsi:type="dcterms:W3CDTF">2026-10-16T04:53:00Z</dcterms:created>
  <dcterms:modified xsi:type="dcterms:W3CDTF">2026-10-16T07:36:44Z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60034347AABE4691A8B9743D76EE4408_12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